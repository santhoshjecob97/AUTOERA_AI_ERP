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ership Tracker" sheetId="1" state="visible" r:id="rId3"/>
    <sheet name="Weekly Dashboard" sheetId="2" state="visible" r:id="rId4"/>
    <sheet name="Cadence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<sst xmlns="http://schemas.openxmlformats.org/spreadsheetml/2006/main" count="76" uniqueCount="69">
  <si>
    <t xml:space="preserve">Dealership Name</t>
  </si>
  <si>
    <t xml:space="preserve">Brand(s)</t>
  </si>
  <si>
    <t xml:space="preserve">City/Area</t>
  </si>
  <si>
    <t xml:space="preserve">Contact Name</t>
  </si>
  <si>
    <t xml:space="preserve">Role</t>
  </si>
  <si>
    <t xml:space="preserve">Phone</t>
  </si>
  <si>
    <t xml:space="preserve">Email</t>
  </si>
  <si>
    <t xml:space="preserve">Source</t>
  </si>
  <si>
    <t xml:space="preserve">Status</t>
  </si>
  <si>
    <t xml:space="preserve">Last Touch Date</t>
  </si>
  <si>
    <t xml:space="preserve">Last Touch Channel</t>
  </si>
  <si>
    <t xml:space="preserve">Next Follow-up Date</t>
  </si>
  <si>
    <t xml:space="preserve">Next Action</t>
  </si>
  <si>
    <t xml:space="preserve">Demo Booked?</t>
  </si>
  <si>
    <t xml:space="preserve">Pilot Started?</t>
  </si>
  <si>
    <t xml:space="preserve">Notes</t>
  </si>
  <si>
    <t xml:space="preserve">Example Motors</t>
  </si>
  <si>
    <t xml:space="preserve">Maruti Suzuki</t>
  </si>
  <si>
    <t xml:space="preserve">Valasaravakkam</t>
  </si>
  <si>
    <t xml:space="preserve">Rajesh Kumar</t>
  </si>
  <si>
    <t xml:space="preserve">Service Manager</t>
  </si>
  <si>
    <t xml:space="preserve">9840000000</t>
  </si>
  <si>
    <t xml:space="preserve">rajesh@example.com</t>
  </si>
  <si>
    <t xml:space="preserve">Cold Call</t>
  </si>
  <si>
    <t xml:space="preserve">Contacted</t>
  </si>
  <si>
    <t xml:space="preserve">2026-07-02</t>
  </si>
  <si>
    <t xml:space="preserve">Call</t>
  </si>
  <si>
    <t xml:space="preserve">2026-07-05</t>
  </si>
  <si>
    <t xml:space="preserve">Send follow-up WhatsApp</t>
  </si>
  <si>
    <t xml:space="preserve">No</t>
  </si>
  <si>
    <t xml:space="preserve">Open to a demo next week</t>
  </si>
  <si>
    <t xml:space="preserve">AutoEra AI — Outreach Dashboard</t>
  </si>
  <si>
    <t xml:space="preserve">Metric</t>
  </si>
  <si>
    <t xml:space="preserve">Count</t>
  </si>
  <si>
    <t xml:space="preserve">30-Day Targets</t>
  </si>
  <si>
    <t xml:space="preserve">Target</t>
  </si>
  <si>
    <t xml:space="preserve">Total Dealerships Contacted</t>
  </si>
  <si>
    <t xml:space="preserve">Dealerships Contacted</t>
  </si>
  <si>
    <t xml:space="preserve">Status: Contacted</t>
  </si>
  <si>
    <t xml:space="preserve">Real Conversations</t>
  </si>
  <si>
    <t xml:space="preserve">Status: Demo Booked</t>
  </si>
  <si>
    <t xml:space="preserve">Demos Booked</t>
  </si>
  <si>
    <t xml:space="preserve">Status: Demo Done</t>
  </si>
  <si>
    <t xml:space="preserve">Pilots Started</t>
  </si>
  <si>
    <t xml:space="preserve">Status: Pilot</t>
  </si>
  <si>
    <t xml:space="preserve">Status: Nurture</t>
  </si>
  <si>
    <t xml:space="preserve">Status: Closed Won</t>
  </si>
  <si>
    <t xml:space="preserve">Status: Closed Lost</t>
  </si>
  <si>
    <t xml:space="preserve">Demos Booked (Yes)</t>
  </si>
  <si>
    <t xml:space="preserve">Pilots Started (Yes)</t>
  </si>
  <si>
    <t xml:space="preserve">Update the Dealership Tracker sheet daily — this dashboard recalculates automatically.</t>
  </si>
  <si>
    <t xml:space="preserve">Day</t>
  </si>
  <si>
    <t xml:space="preserve">Channel</t>
  </si>
  <si>
    <t xml:space="preserve">Action</t>
  </si>
  <si>
    <t xml:space="preserve">Day 0</t>
  </si>
  <si>
    <t xml:space="preserve">Cold call using script Section 2.1</t>
  </si>
  <si>
    <t xml:space="preserve">WhatsApp</t>
  </si>
  <si>
    <t xml:space="preserve">Send Sequence A, Message 1 same day</t>
  </si>
  <si>
    <t xml:space="preserve">Day 3</t>
  </si>
  <si>
    <t xml:space="preserve">Sequence A, Message 2 if no reply</t>
  </si>
  <si>
    <t xml:space="preserve">Day 5</t>
  </si>
  <si>
    <t xml:space="preserve">Follow-up email (Template 3.2) if no reply</t>
  </si>
  <si>
    <t xml:space="preserve">Day 7</t>
  </si>
  <si>
    <t xml:space="preserve">Sequence A, Message 3</t>
  </si>
  <si>
    <t xml:space="preserve">Day 10</t>
  </si>
  <si>
    <t xml:space="preserve">Warm call (Script 2.2) if still no response</t>
  </si>
  <si>
    <t xml:space="preserve">Day 14</t>
  </si>
  <si>
    <t xml:space="preserve">-</t>
  </si>
  <si>
    <t xml:space="preserve">Mark as 'Nurture' - move to 60-90 day cycle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</si>
</sst>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B8862E"/>
      <name val="Arial"/>
      <family val="0"/>
      <charset val="1"/>
    </font>
    <font>
      <i val="true"/>
      <sz val="10"/>
      <color rgb="FF77777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B8862E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2E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22"/>
    <col collapsed="false" customWidth="true" hidden="false" outlineLevel="0" max="9" min="8" style="0" width="14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3" min="13" style="0" width="20"/>
    <col collapsed="false" customWidth="true" hidden="false" outlineLevel="0" max="15" min="14" style="0" width="13"/>
    <col collapsed="false" customWidth="true" hidden="false" outlineLevel="0" max="16" min="16" style="0" width="3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</row>
    <row r="3" customFormat="false" ht="19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9.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9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customFormat="false" ht="19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9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customFormat="false" ht="19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customFormat="false" ht="19.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customFormat="false" ht="19.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customFormat="false" ht="19.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customFormat="false" ht="19.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customFormat="false" ht="19.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customFormat="false" ht="19.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customFormat="false" ht="19.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customFormat="false" ht="19.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customFormat="false" ht="19.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customFormat="false" ht="19.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9.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9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customFormat="false" ht="19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customFormat="false" ht="19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9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9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customFormat="false" ht="19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customFormat="false" ht="19.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9.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9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9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9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9.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9.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9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9.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9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9.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9.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9.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9.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9.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9.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9.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9.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9.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19.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customFormat="false" ht="19.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customFormat="false" ht="19.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customFormat="false" ht="19.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customFormat="false" ht="19.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customFormat="false" ht="19.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9.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9.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9.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9.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9.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9.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9.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</sheetData>
  <dataValidations count="5">
    <dataValidation allowBlank="true" errorStyle="stop" operator="between" showDropDown="false" showErrorMessage="false" showInputMessage="false" sqref="I2:I59" type="list">
      <formula1>"Not Contacted,Contacted,Demo Booked,Demo Done,Pilot,Nurture,Closed Won,Closed Lost"</formula1>
      <formula2>0</formula2>
    </dataValidation>
    <dataValidation allowBlank="true" errorStyle="stop" operator="between" showDropDown="false" showErrorMessage="false" showInputMessage="false" sqref="K2:K59" type="list">
      <formula1>"Call,Email,WhatsApp,Referral,In-person"</formula1>
      <formula2>0</formula2>
    </dataValidation>
    <dataValidation allowBlank="true" errorStyle="stop" operator="between" showDropDown="false" showErrorMessage="false" showInputMessage="false" sqref="N2:O59" type="list">
      <formula1>"Yes,No"</formula1>
      <formula2>0</formula2>
    </dataValidation>
    <dataValidation allowBlank="true" errorStyle="stop" operator="between" showDropDown="false" showErrorMessage="false" showInputMessage="false" sqref="H2:H59" type="list">
      <formula1>"Cold Call,Referral,LinkedIn,Walk-in,Event,Other"</formula1>
      <formula2>0</formula2>
    </dataValidation>
    <dataValidation allowBlank="true" errorStyle="stop" operator="between" showDropDown="false" showErrorMessage="false" showInputMessage="false" sqref="E2:E59" type="list">
      <formula1>"Owner,GM,Service Manager,Sales Manager,Other"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3" t="s">
        <v>31</v>
      </c>
      <c r="B1" s="3"/>
      <c r="C1" s="3"/>
      <c r="D1" s="3"/>
      <c r="E1" s="3"/>
    </row>
    <row r="3" customFormat="false" ht="15" hidden="false" customHeight="false" outlineLevel="0" collapsed="false">
      <c r="A3" s="4" t="s">
        <v>32</v>
      </c>
      <c r="B3" s="4" t="s">
        <v>33</v>
      </c>
      <c r="D3" s="5" t="s">
        <v>34</v>
      </c>
      <c r="E3" s="5" t="s">
        <v>35</v>
      </c>
    </row>
    <row r="4" customFormat="false" ht="15" hidden="false" customHeight="false" outlineLevel="0" collapsed="false">
      <c r="A4" s="6" t="s">
        <v>36</v>
      </c>
      <c r="B4" s="7" t="n">
        <f aca="false">COUNTA('Dealership Tracker'!A2:A59)-COUNTBLANK('Dealership Tracker'!A2:A59)</f>
        <v>-56</v>
      </c>
      <c r="D4" s="6" t="s">
        <v>37</v>
      </c>
      <c r="E4" s="8" t="n">
        <v>40</v>
      </c>
    </row>
    <row r="5" customFormat="false" ht="15" hidden="false" customHeight="false" outlineLevel="0" collapsed="false">
      <c r="A5" s="6" t="s">
        <v>38</v>
      </c>
      <c r="B5" s="7" t="n">
        <f aca="false">COUNTIF('Dealership Tracker'!I2:I59,"Contacted")</f>
        <v>1</v>
      </c>
      <c r="D5" s="6" t="s">
        <v>39</v>
      </c>
      <c r="E5" s="8" t="n">
        <v>10</v>
      </c>
    </row>
    <row r="6" customFormat="false" ht="15" hidden="false" customHeight="false" outlineLevel="0" collapsed="false">
      <c r="A6" s="6" t="s">
        <v>40</v>
      </c>
      <c r="B6" s="7" t="n">
        <f aca="false">COUNTIF('Dealership Tracker'!I2:I59,"Demo Booked")</f>
        <v>0</v>
      </c>
      <c r="D6" s="6" t="s">
        <v>41</v>
      </c>
      <c r="E6" s="8" t="n">
        <v>5</v>
      </c>
    </row>
    <row r="7" customFormat="false" ht="15" hidden="false" customHeight="false" outlineLevel="0" collapsed="false">
      <c r="A7" s="6" t="s">
        <v>42</v>
      </c>
      <c r="B7" s="7" t="n">
        <f aca="false">COUNTIF('Dealership Tracker'!I2:I59,"Demo Done")</f>
        <v>0</v>
      </c>
      <c r="D7" s="6" t="s">
        <v>43</v>
      </c>
      <c r="E7" s="8" t="n">
        <v>2</v>
      </c>
    </row>
    <row r="8" customFormat="false" ht="15" hidden="false" customHeight="false" outlineLevel="0" collapsed="false">
      <c r="A8" s="6" t="s">
        <v>44</v>
      </c>
      <c r="B8" s="7" t="n">
        <f aca="false">COUNTIF('Dealership Tracker'!I2:I59,"Pilot")</f>
        <v>0</v>
      </c>
    </row>
    <row r="9" customFormat="false" ht="15" hidden="false" customHeight="false" outlineLevel="0" collapsed="false">
      <c r="A9" s="6" t="s">
        <v>45</v>
      </c>
      <c r="B9" s="7" t="n">
        <f aca="false">COUNTIF('Dealership Tracker'!I2:I59,"Nurture")</f>
        <v>0</v>
      </c>
    </row>
    <row r="10" customFormat="false" ht="15" hidden="false" customHeight="false" outlineLevel="0" collapsed="false">
      <c r="A10" s="6" t="s">
        <v>46</v>
      </c>
      <c r="B10" s="7" t="n">
        <f aca="false">COUNTIF('Dealership Tracker'!I2:I59,"Closed Won")</f>
        <v>0</v>
      </c>
    </row>
    <row r="11" customFormat="false" ht="15" hidden="false" customHeight="false" outlineLevel="0" collapsed="false">
      <c r="A11" s="6" t="s">
        <v>47</v>
      </c>
      <c r="B11" s="7" t="n">
        <f aca="false">COUNTIF('Dealership Tracker'!I2:I59,"Closed Lost")</f>
        <v>0</v>
      </c>
    </row>
    <row r="12" customFormat="false" ht="15" hidden="false" customHeight="false" outlineLevel="0" collapsed="false">
      <c r="A12" s="6" t="s">
        <v>48</v>
      </c>
      <c r="B12" s="7" t="n">
        <f aca="false">COUNTIF('Dealership Tracker'!N2:N59,"Yes")</f>
        <v>0</v>
      </c>
    </row>
    <row r="13" customFormat="false" ht="15" hidden="false" customHeight="false" outlineLevel="0" collapsed="false">
      <c r="A13" s="6" t="s">
        <v>49</v>
      </c>
      <c r="B13" s="7" t="n">
        <f aca="false">COUNTIF('Dealership Tracker'!O2:O59,"Yes")</f>
        <v>0</v>
      </c>
    </row>
    <row r="16" customFormat="false" ht="15" hidden="false" customHeight="false" outlineLevel="0" collapsed="false">
      <c r="A16" s="9" t="s">
        <v>50</v>
      </c>
      <c r="B16" s="9"/>
      <c r="C16" s="9"/>
      <c r="D16" s="9"/>
      <c r="E16" s="9"/>
    </row>
  </sheetData>
  <mergeCells count="2">
    <mergeCell ref="A1:E1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31.5" hidden="false" customHeight="true" outlineLevel="0" collapsed="false">
      <c r="A1" s="1" t="s">
        <v>51</v>
      </c>
      <c r="B1" s="1" t="s">
        <v>52</v>
      </c>
      <c r="C1" s="1" t="s">
        <v>53</v>
      </c>
    </row>
    <row r="2" customFormat="false" ht="15" hidden="false" customHeight="false" outlineLevel="0" collapsed="false">
      <c r="A2" s="2" t="s">
        <v>54</v>
      </c>
      <c r="B2" s="2" t="s">
        <v>26</v>
      </c>
      <c r="C2" s="2" t="s">
        <v>55</v>
      </c>
    </row>
    <row r="3" customFormat="false" ht="15" hidden="false" customHeight="false" outlineLevel="0" collapsed="false">
      <c r="A3" s="2" t="s">
        <v>54</v>
      </c>
      <c r="B3" s="2" t="s">
        <v>56</v>
      </c>
      <c r="C3" s="2" t="s">
        <v>57</v>
      </c>
    </row>
    <row r="4" customFormat="false" ht="15" hidden="false" customHeight="false" outlineLevel="0" collapsed="false">
      <c r="A4" s="2" t="s">
        <v>58</v>
      </c>
      <c r="B4" s="2" t="s">
        <v>56</v>
      </c>
      <c r="C4" s="2" t="s">
        <v>59</v>
      </c>
    </row>
    <row r="5" customFormat="false" ht="15" hidden="false" customHeight="false" outlineLevel="0" collapsed="false">
      <c r="A5" s="2" t="s">
        <v>60</v>
      </c>
      <c r="B5" s="2" t="s">
        <v>6</v>
      </c>
      <c r="C5" s="2" t="s">
        <v>61</v>
      </c>
    </row>
    <row r="6" customFormat="false" ht="15" hidden="false" customHeight="false" outlineLevel="0" collapsed="false">
      <c r="A6" s="2" t="s">
        <v>62</v>
      </c>
      <c r="B6" s="2" t="s">
        <v>56</v>
      </c>
      <c r="C6" s="2" t="s">
        <v>63</v>
      </c>
    </row>
    <row r="7" customFormat="false" ht="15" hidden="false" customHeight="false" outlineLevel="0" collapsed="false">
      <c r="A7" s="2" t="s">
        <v>64</v>
      </c>
      <c r="B7" s="2" t="s">
        <v>26</v>
      </c>
      <c r="C7" s="2" t="s">
        <v>65</v>
      </c>
    </row>
    <row r="8" customFormat="false" ht="15" hidden="false" customHeight="false" outlineLevel="0" collapsed="false">
      <c r="A8" s="2" t="s">
        <v>66</v>
      </c>
      <c r="B8" s="2" t="s">
        <v>67</v>
      </c>
      <c r="C8" s="2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2026-07-02T05:15:53Z</dcterms:created>
  <dc:creator>openpyxl</dc:creator>
  <dc:description/>
  <dc:language>en-US</dc:language>
  <cp:lastModifiedBy/>
  <dcterms:modified xsi:type="dcterms:W3CDTF">2026-07-02T05:15:53Z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