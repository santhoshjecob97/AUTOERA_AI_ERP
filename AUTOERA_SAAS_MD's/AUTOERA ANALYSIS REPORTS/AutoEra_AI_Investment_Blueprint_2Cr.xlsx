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💰 Capital Allocation" sheetId="2" state="visible" r:id="rId4"/>
    <sheet name="📅 24-Month Runway" sheetId="3" state="visible" r:id="rId5"/>
    <sheet name="📈 Financial Model" sheetId="4" state="visible" r:id="rId6"/>
    <sheet name="👥 Hiring Tracker" sheetId="5" state="visible" r:id="rId7"/>
    <sheet name="💸 Cash Flow Tracker" sheetId="6" state="visible" r:id="rId8"/>
    <sheet name="🎯 KPI Dashboard" sheetId="7" state="visible" r:id="rId9"/>
    <sheet name="⚠️ Risk Matrix" sheetId="8" state="visible" r:id="rId10"/>
    <sheet name="🚀 Milestone Tracker" sheetId="9" state="visible" r:id="rId11"/>
    <sheet name="🏦 Investor Readiness" sheetId="10" state="visible" r:id="rId12"/>
    <sheet name="⚡ Final Verdict" sheetId="11" state="visible" r:id="rId13"/>
    <sheet name="🔄 Backup Plan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<sst xmlns="http://schemas.openxmlformats.org/spreadsheetml/2006/main" count="1166" uniqueCount="798">
  <si>
    <t xml:space="preserve">AUTOERA AI SOLUTIONS — INVESTMENT OPERATING BLUEPRINT</t>
  </si>
  <si>
    <t xml:space="preserve">₹2 Crore Capital Deployment Plan  |  24-Month Financial Model  |  Version 1.0 — 2026</t>
  </si>
  <si>
    <t xml:space="preserve">KEY FINANCIAL METRICS</t>
  </si>
  <si>
    <t xml:space="preserve">Total Capital Raised</t>
  </si>
  <si>
    <t xml:space="preserve">Planned Runway</t>
  </si>
  <si>
    <t xml:space="preserve">Monthly Burn (Y1 avg)</t>
  </si>
  <si>
    <t xml:space="preserve">Break-even Target</t>
  </si>
  <si>
    <t xml:space="preserve">Target ARR @ M24</t>
  </si>
  <si>
    <t xml:space="preserve">Series A Readiness</t>
  </si>
  <si>
    <t xml:space="preserve">₹2,00,00,000</t>
  </si>
  <si>
    <t xml:space="preserve">18–22 Months</t>
  </si>
  <si>
    <t xml:space="preserve">₹7.2L/month</t>
  </si>
  <si>
    <t xml:space="preserve">Month 20</t>
  </si>
  <si>
    <t xml:space="preserve">₹50–80 Lakhs</t>
  </si>
  <si>
    <t xml:space="preserve">Month 20–24</t>
  </si>
  <si>
    <t xml:space="preserve">Initial Investment</t>
  </si>
  <si>
    <t xml:space="preserve">Conservative allocation</t>
  </si>
  <si>
    <t xml:space="preserve">All-in operating cost</t>
  </si>
  <si>
    <t xml:space="preserve">Revenue covers burn</t>
  </si>
  <si>
    <t xml:space="preserve">Conservative estimate</t>
  </si>
  <si>
    <t xml:space="preserve">If milestones hit</t>
  </si>
  <si>
    <t xml:space="preserve">CAPITAL ALLOCATION SUMMARY — ₹2,00,00,000</t>
  </si>
  <si>
    <t xml:space="preserve">Category</t>
  </si>
  <si>
    <t xml:space="preserve">Allocation %</t>
  </si>
  <si>
    <t xml:space="preserve">Amount (₹)</t>
  </si>
  <si>
    <t xml:space="preserve">Amount (Lakhs)</t>
  </si>
  <si>
    <t xml:space="preserve">Justification</t>
  </si>
  <si>
    <t xml:space="preserve">Product &amp; Engineering</t>
  </si>
  <si>
    <t xml:space="preserve">Core platform — must protect</t>
  </si>
  <si>
    <t xml:space="preserve">Sales &amp; GTM</t>
  </si>
  <si>
    <t xml:space="preserve">Founder-led initially</t>
  </si>
  <si>
    <t xml:space="preserve">Operations &amp; Legal</t>
  </si>
  <si>
    <t xml:space="preserve">Compliance + admin</t>
  </si>
  <si>
    <t xml:space="preserve">Customer Success</t>
  </si>
  <si>
    <t xml:space="preserve">Onboarding + retention</t>
  </si>
  <si>
    <t xml:space="preserve">Marketing &amp; Brand</t>
  </si>
  <si>
    <t xml:space="preserve">Digital + content only</t>
  </si>
  <si>
    <t xml:space="preserve">Contingency Reserve</t>
  </si>
  <si>
    <t xml:space="preserve">Never touch until M15+</t>
  </si>
  <si>
    <t xml:space="preserve">MILESTONE-GATED SPENDING RELEASE</t>
  </si>
  <si>
    <t xml:space="preserve">Gate</t>
  </si>
  <si>
    <t xml:space="preserve">Timeline</t>
  </si>
  <si>
    <t xml:space="preserve">Capital Released</t>
  </si>
  <si>
    <t xml:space="preserve">Unlock Condition</t>
  </si>
  <si>
    <t xml:space="preserve">Gate 1: Foundation</t>
  </si>
  <si>
    <t xml:space="preserve">M1–M2</t>
  </si>
  <si>
    <t xml:space="preserve">₹30L released</t>
  </si>
  <si>
    <t xml:space="preserve">Infra + 3 engineers hired + legal setup done</t>
  </si>
  <si>
    <t xml:space="preserve">Gate 2: MVP Live</t>
  </si>
  <si>
    <t xml:space="preserve">M3–M4</t>
  </si>
  <si>
    <t xml:space="preserve">₹25L released</t>
  </si>
  <si>
    <t xml:space="preserve">Working product in 5 pilot dealers</t>
  </si>
  <si>
    <t xml:space="preserve">Gate 3: First Revenue</t>
  </si>
  <si>
    <t xml:space="preserve">M5–M8</t>
  </si>
  <si>
    <t xml:space="preserve">5 paying dealers, ₹2L MRR confirmed</t>
  </si>
  <si>
    <t xml:space="preserve">Gate 4: PMF Signal</t>
  </si>
  <si>
    <t xml:space="preserve">M9–M14</t>
  </si>
  <si>
    <t xml:space="preserve">₹40L released</t>
  </si>
  <si>
    <t xml:space="preserve">30 paying dealers, ₹15L MRR, NPS &gt;40</t>
  </si>
  <si>
    <t xml:space="preserve">Gate 5: Scale Mode</t>
  </si>
  <si>
    <t xml:space="preserve">M15–M18</t>
  </si>
  <si>
    <t xml:space="preserve">80 dealers, ₹35L MRR, unit economics proven</t>
  </si>
  <si>
    <t xml:space="preserve">Gate 6: Series A Prep</t>
  </si>
  <si>
    <t xml:space="preserve">M19–M24</t>
  </si>
  <si>
    <t xml:space="preserve">₹50L released</t>
  </si>
  <si>
    <t xml:space="preserve">Contingency + Series A bridge if needed</t>
  </si>
  <si>
    <t xml:space="preserve">⚠  Emergency Reserve of ₹18L is LOCKED until Month 15. It exists only for existential threats — not operational shortfalls.</t>
  </si>
  <si>
    <t xml:space="preserve">AUTOERA AI — CAPITAL ALLOCATION  |  Total Investment: ₹2,00,00,000</t>
  </si>
  <si>
    <t xml:space="preserve">BUCKET 1 — PRODUCT &amp; ENGINEERING  (60% = ₹1,20,00,000)</t>
  </si>
  <si>
    <t xml:space="preserve">Line Item</t>
  </si>
  <si>
    <t xml:space="preserve">% of Total</t>
  </si>
  <si>
    <t xml:space="preserve">% of Bucket</t>
  </si>
  <si>
    <t xml:space="preserve">Business Justification</t>
  </si>
  <si>
    <t xml:space="preserve">Engineering Team (3 FTEs × 12 months)</t>
  </si>
  <si>
    <t xml:space="preserve">Core platform build — FastAPI + React Native + PostgreSQL</t>
  </si>
  <si>
    <t xml:space="preserve">AI/ML Engineer (1 FTE × 12 months)</t>
  </si>
  <si>
    <t xml:space="preserve">LLM integration, model fine-tuning, RAG pipeline</t>
  </si>
  <si>
    <t xml:space="preserve">AWS Infrastructure (compute, RDS, MSK)</t>
  </si>
  <si>
    <t xml:space="preserve">Phase 1–2 cloud costs — scale with revenue after M12</t>
  </si>
  <si>
    <t xml:space="preserve">AI API Costs (GPT-4o, Claude, Gemini)</t>
  </si>
  <si>
    <t xml:space="preserve">~₹65K/month budget — monitored weekly vs revenue</t>
  </si>
  <si>
    <t xml:space="preserve">WhatsApp Business API (Gupshup)</t>
  </si>
  <si>
    <t xml:space="preserve">₹25K/month for 50 dealers — scales with dealers</t>
  </si>
  <si>
    <t xml:space="preserve">UI/UX Design (freelancer, 6 months)</t>
  </si>
  <si>
    <t xml:space="preserve">Figma-first design system, mobile-first prototypes</t>
  </si>
  <si>
    <t xml:space="preserve">Security, compliance, pen-test</t>
  </si>
  <si>
    <t xml:space="preserve">DPDP Act compliance, SSL, WAF, annual pen-test</t>
  </si>
  <si>
    <t xml:space="preserve">DevOps &amp; monitoring (Datadog lite)</t>
  </si>
  <si>
    <t xml:space="preserve">Observability from Day 1 — not an afterthought</t>
  </si>
  <si>
    <t xml:space="preserve">OBD-II devices (50 pilot units)</t>
  </si>
  <si>
    <t xml:space="preserve">₹3,000/unit × 50 — fleet pilots only</t>
  </si>
  <si>
    <t xml:space="preserve">Software licences &amp; tools</t>
  </si>
  <si>
    <t xml:space="preserve">GitHub, Figma, Notion, Postman, Sentry</t>
  </si>
  <si>
    <t xml:space="preserve">BUCKET 1 TOTAL</t>
  </si>
  <si>
    <t xml:space="preserve">BUCKET 2 — SALES &amp; GTM  (12% = ₹24,00,000)</t>
  </si>
  <si>
    <t xml:space="preserve">BD / Sales Executive (1 FTE × 12m)</t>
  </si>
  <si>
    <t xml:space="preserve">Ex-OEM rep with TN dealer network — commission structure</t>
  </si>
  <si>
    <t xml:space="preserve">Automotive Domain Expert (1 FTE × 12m)</t>
  </si>
  <si>
    <t xml:space="preserve">Ex-Dealer GM — validates product + opens dealer doors</t>
  </si>
  <si>
    <t xml:space="preserve">Industry events (FADA, Auto Expo, EV Summit)</t>
  </si>
  <si>
    <t xml:space="preserve">3 events/year max — ROI-only attendance</t>
  </si>
  <si>
    <t xml:space="preserve">LinkedIn Premium + outreach tools</t>
  </si>
  <si>
    <t xml:space="preserve">Sales Navigator + Apollo.io for dealer decision-maker reach</t>
  </si>
  <si>
    <t xml:space="preserve">Demo environment + sales collateral</t>
  </si>
  <si>
    <t xml:space="preserve">One polished deck, demo environment, case study PDFs</t>
  </si>
  <si>
    <t xml:space="preserve">Travel (dealer visits, Tamil Nadu + CBE)</t>
  </si>
  <si>
    <t xml:space="preserve">₹25K/month — founder + BD travel</t>
  </si>
  <si>
    <t xml:space="preserve">Referral program incentives</t>
  </si>
  <si>
    <t xml:space="preserve">₹5,000/dealer referral — only paid on conversion</t>
  </si>
  <si>
    <t xml:space="preserve">BUCKET 2 TOTAL</t>
  </si>
  <si>
    <t xml:space="preserve">BUCKET 3 — OPERATIONS &amp; LEGAL  (8% = ₹16,00,000)</t>
  </si>
  <si>
    <t xml:space="preserve">Company registration + MCA filings</t>
  </si>
  <si>
    <t xml:space="preserve">Pvt Ltd, MOA, AOA, directors — one-time</t>
  </si>
  <si>
    <t xml:space="preserve">Startup India, DPIIT, FIDE registration</t>
  </si>
  <si>
    <t xml:space="preserve">Tax benefits + credibility + grant eligibility</t>
  </si>
  <si>
    <t xml:space="preserve">Legal counsel retainer (12 months)</t>
  </si>
  <si>
    <t xml:space="preserve">₹25K/month — contracts, investor docs, employment</t>
  </si>
  <si>
    <t xml:space="preserve">Accounting + GST filing (12 months)</t>
  </si>
  <si>
    <t xml:space="preserve">₹15K/month — clean books from Day 1</t>
  </si>
  <si>
    <t xml:space="preserve">Office / coworking (12 months)</t>
  </si>
  <si>
    <t xml:space="preserve">₹25K/month — small Chennai coworking, 4 desks</t>
  </si>
  <si>
    <t xml:space="preserve">Founder salary (12 months × ₹50K)</t>
  </si>
  <si>
    <t xml:space="preserve">Survival salary only — not market rate</t>
  </si>
  <si>
    <t xml:space="preserve">Insurance (D&amp;O, cyber, professional)</t>
  </si>
  <si>
    <t xml:space="preserve">Required by sophisticated investors from Day 1</t>
  </si>
  <si>
    <t xml:space="preserve">BUCKET 3 TOTAL</t>
  </si>
  <si>
    <t xml:space="preserve">BUCKET 4 — CUSTOMER SUCCESS  (6% = ₹12,00,000)</t>
  </si>
  <si>
    <t xml:space="preserve">CS Manager (1 FTE × 12 months)</t>
  </si>
  <si>
    <t xml:space="preserve">₹60K/month — best ROI hire after engineers</t>
  </si>
  <si>
    <t xml:space="preserve">Onboarding materials + training kits</t>
  </si>
  <si>
    <t xml:space="preserve">Tamil + English printed quick-reference cards</t>
  </si>
  <si>
    <t xml:space="preserve">Customer communication tools (Intercom)</t>
  </si>
  <si>
    <t xml:space="preserve">In-app support + knowledge base</t>
  </si>
  <si>
    <t xml:space="preserve">NPS + feedback tools (Typeform)</t>
  </si>
  <si>
    <t xml:space="preserve">Monthly NPS automation</t>
  </si>
  <si>
    <t xml:space="preserve">CS travel + dealer visits</t>
  </si>
  <si>
    <t xml:space="preserve">₹15K/month — on-site visits for retention</t>
  </si>
  <si>
    <t xml:space="preserve">BUCKET 4 TOTAL</t>
  </si>
  <si>
    <t xml:space="preserve">BUCKET 5 — MARKETING &amp; BRAND  (5% = ₹10,00,000)</t>
  </si>
  <si>
    <t xml:space="preserve">Content marketing (blog, LinkedIn, YouTube)</t>
  </si>
  <si>
    <t xml:space="preserve">SEO + thought leadership — 2 pieces/week</t>
  </si>
  <si>
    <t xml:space="preserve">Logo, brand kit, website (one-time)</t>
  </si>
  <si>
    <t xml:space="preserve">Professional identity — one-time investment</t>
  </si>
  <si>
    <t xml:space="preserve">Digital ads (LinkedIn targeted dealer ads)</t>
  </si>
  <si>
    <t xml:space="preserve">₹25K/month from M3 onwards — ROI-gated</t>
  </si>
  <si>
    <t xml:space="preserve">PR + media (Economic Times Startup, Mint)</t>
  </si>
  <si>
    <t xml:space="preserve">2 press releases + 1 feature story per year</t>
  </si>
  <si>
    <t xml:space="preserve">Case study + video production</t>
  </si>
  <si>
    <t xml:space="preserve">3 video case studies from early dealers</t>
  </si>
  <si>
    <t xml:space="preserve">BUCKET 5 TOTAL</t>
  </si>
  <si>
    <t xml:space="preserve">BUCKET 6 — CONTINGENCY &amp; EMERGENCY RESERVE  (9% = ₹18,00,000) ⚠ LOCKED</t>
  </si>
  <si>
    <t xml:space="preserve">Contingency — operational (unlocks M15)</t>
  </si>
  <si>
    <t xml:space="preserve">Technical debt, hiring emergency, unexpected legal costs</t>
  </si>
  <si>
    <t xml:space="preserve">Emergency reserve (unlocks only in crisis)</t>
  </si>
  <si>
    <t xml:space="preserve">Existential threat only — founder decides with board approval</t>
  </si>
  <si>
    <t xml:space="preserve">BUCKET 6 TOTAL</t>
  </si>
  <si>
    <t xml:space="preserve">TOTAL ALLOCATED CAPITAL  |  ₹2,00,00,000  |  100%  |  Full ₹2 Crore deployed via milestone gates</t>
  </si>
  <si>
    <t xml:space="preserve">AUTOERA AI — 24-MONTH RUNWAY MODEL  |  3 Scenarios: Conservative · Expected · Aggressive</t>
  </si>
  <si>
    <t xml:space="preserve">SCENARIO KEY:</t>
  </si>
  <si>
    <t xml:space="preserve">CONSERVATIVE — Slow dealer acquisition, revenue delayed 2 months vs plan</t>
  </si>
  <si>
    <t xml:space="preserve">EXPECTED — On-plan growth, some slip but recovers</t>
  </si>
  <si>
    <t xml:space="preserve">AGGRESSIVE — Faster acquisition, OEM deal in M12</t>
  </si>
  <si>
    <t xml:space="preserve">METRIC / 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</si>
  <si>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</si>
  <si>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</si>
  <si>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</si>
  <si>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</si>
  <si>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</si>
  <si>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</si>
  <si>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</si>
  <si>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</si>
  <si>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</si>
  <si>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</si>
  <si>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</si>
  <si>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</si>
  <si>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</si>
  <si>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</si>
  <si>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</si>
  <si>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</si>
  <si>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</si>
  <si>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</si>
  <si>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</si>
  <si>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</si>
  <si>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</si>
  <si>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</si>
  <si>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</si>
  <si>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</si>
  <si>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CONSERVATIVE SCENARIO — Probability: 35%</t>
  </si>
  <si>
    <t xml:space="preserve">Paying Dealers</t>
  </si>
  <si>
    <t xml:space="preserve">MRR (₹ Lakhs)</t>
  </si>
  <si>
    <t xml:space="preserve">Monthly Burn (₹ Lakhs)</t>
  </si>
  <si>
    <t xml:space="preserve">Net Cash Flow (₹L)</t>
  </si>
  <si>
    <t xml:space="preserve">Opening Balance (₹L)</t>
  </si>
  <si>
    <t xml:space="preserve">Closing Balance (₹L)</t>
  </si>
  <si>
    <t xml:space="preserve">Cumul. Revenue (₹L)</t>
  </si>
  <si>
    <t xml:space="preserve">Runway Remaining (months)</t>
  </si>
  <si>
    <t xml:space="preserve">EXPECTED SCENARIO — Probability: 50%</t>
  </si>
  <si>
    <t xml:space="preserve">AGGRESSIVE SCENARIO — Probability: 15%</t>
  </si>
  <si>
    <t xml:space="preserve">SCENARIO SUMMARY COMPARISON</t>
  </si>
  <si>
    <t xml:space="preserve">Metric</t>
  </si>
  <si>
    <t xml:space="preserve">Conservative</t>
  </si>
  <si>
    <t xml:space="preserve">Expected</t>
  </si>
  <si>
    <t xml:space="preserve">Aggressive</t>
  </si>
  <si>
    <t xml:space="preserve">M24 Paying Dealers</t>
  </si>
  <si>
    <t xml:space="preserve">70</t>
  </si>
  <si>
    <t xml:space="preserve">145</t>
  </si>
  <si>
    <t xml:space="preserve">300</t>
  </si>
  <si>
    <t xml:space="preserve">M24 MRR (₹ Lakhs)</t>
  </si>
  <si>
    <t xml:space="preserve">₹10.5L</t>
  </si>
  <si>
    <t xml:space="preserve">₹21.75L</t>
  </si>
  <si>
    <t xml:space="preserve">₹45.0L</t>
  </si>
  <si>
    <t xml:space="preserve">M24 ARR (₹ Lakhs)</t>
  </si>
  <si>
    <t xml:space="preserve">₹126.0L</t>
  </si>
  <si>
    <t xml:space="preserve">₹261.0L</t>
  </si>
  <si>
    <t xml:space="preserve">₹540.0L</t>
  </si>
  <si>
    <t xml:space="preserve">M24 Closing Balance (₹L)</t>
  </si>
  <si>
    <t xml:space="preserve">₹85.4L</t>
  </si>
  <si>
    <t xml:space="preserve">₹156.8L</t>
  </si>
  <si>
    <t xml:space="preserve">₹256.3L</t>
  </si>
  <si>
    <t xml:space="preserve">Break-Even Month</t>
  </si>
  <si>
    <t xml:space="preserve">Series A Ready?</t>
  </si>
  <si>
    <t xml:space="preserve">Unlikely</t>
  </si>
  <si>
    <t xml:space="preserve">Likely M22</t>
  </si>
  <si>
    <t xml:space="preserve">Strong M20</t>
  </si>
  <si>
    <t xml:space="preserve">AUTOERA AI — 3-YEAR FINANCIAL MODEL  |  Conservative · Realistic · Aggressive</t>
  </si>
  <si>
    <t xml:space="preserve">METRIC</t>
  </si>
  <si>
    <t xml:space="preserve">Y1 — CON</t>
  </si>
  <si>
    <t xml:space="preserve">Y1 — EXP</t>
  </si>
  <si>
    <t xml:space="preserve">Y1 — AGG</t>
  </si>
  <si>
    <t xml:space="preserve">Y2 — CON</t>
  </si>
  <si>
    <t xml:space="preserve">Y2 — EXP</t>
  </si>
  <si>
    <t xml:space="preserve">Y2 — AGG</t>
  </si>
  <si>
    <t xml:space="preserve">Y3 — CON</t>
  </si>
  <si>
    <t xml:space="preserve">Y3 — EXP</t>
  </si>
  <si>
    <t xml:space="preserve">Y3 — AGG</t>
  </si>
  <si>
    <t xml:space="preserve">── REVENUE ──</t>
  </si>
  <si>
    <t xml:space="preserve">Active Dealers (EoY)</t>
  </si>
  <si>
    <t xml:space="preserve">Avg MRR per Dealer (₹)</t>
  </si>
  <si>
    <t xml:space="preserve">SaaS MRR (₹ Lakhs)</t>
  </si>
  <si>
    <t xml:space="preserve">SaaS ARR (₹ Lakhs)</t>
  </si>
  <si>
    <t xml:space="preserve">Transaction Fees (₹L)</t>
  </si>
  <si>
    <t xml:space="preserve">OEM / Enterprise (₹L)</t>
  </si>
  <si>
    <t xml:space="preserve">TOTAL REVENUE (₹ Lakhs)</t>
  </si>
  <si>
    <t xml:space="preserve">── COST ──</t>
  </si>
  <si>
    <t xml:space="preserve">Engineering Team (₹L)</t>
  </si>
  <si>
    <t xml:space="preserve">AI APIs + Infra (₹L)</t>
  </si>
  <si>
    <t xml:space="preserve">Sales &amp; GTM (₹L)</t>
  </si>
  <si>
    <t xml:space="preserve">Operations &amp; Legal (₹L)</t>
  </si>
  <si>
    <t xml:space="preserve">Customer Success (₹L)</t>
  </si>
  <si>
    <t xml:space="preserve">Marketing (₹L)</t>
  </si>
  <si>
    <t xml:space="preserve">TOTAL OPEX (₹ Lakhs)</t>
  </si>
  <si>
    <t xml:space="preserve">── MARGINS ──</t>
  </si>
  <si>
    <t xml:space="preserve">Gross Profit (₹L)</t>
  </si>
  <si>
    <t xml:space="preserve">→ Rev × GM%</t>
  </si>
  <si>
    <t xml:space="preserve">Gross Margin %</t>
  </si>
  <si>
    <t xml:space="preserve">EBITDA (₹L)</t>
  </si>
  <si>
    <t xml:space="preserve">→ Rev−OPEX</t>
  </si>
  <si>
    <t xml:space="preserve">EBITDA Margin %</t>
  </si>
  <si>
    <t xml:space="preserve">→ EBITDA/Rev</t>
  </si>
  <si>
    <t xml:space="preserve">→ EBITDA adj</t>
  </si>
  <si>
    <t xml:space="preserve">── SURVIVAL ──</t>
  </si>
  <si>
    <t xml:space="preserve">Burn Rate (₹L/month)</t>
  </si>
  <si>
    <t xml:space="preserve">Monthly Revenue (₹L)</t>
  </si>
  <si>
    <t xml:space="preserve">Cumul. Investment Used (₹L)</t>
  </si>
  <si>
    <t xml:space="preserve">—</t>
  </si>
  <si>
    <t xml:space="preserve">NOTE: EBITDA = Total Revenue − Total OPEX. Figures shown in ₹ Lakhs. Blue = hardcoded inputs, Black = computed.</t>
  </si>
  <si>
    <t xml:space="preserve">EBITDA &amp; NET CASH FLOW SUMMARY (₹ Lakhs)</t>
  </si>
  <si>
    <t xml:space="preserve">Y1 CON</t>
  </si>
  <si>
    <t xml:space="preserve">Y1 EXP</t>
  </si>
  <si>
    <t xml:space="preserve">Y1 AGG</t>
  </si>
  <si>
    <t xml:space="preserve">Y2 CON</t>
  </si>
  <si>
    <t xml:space="preserve">Y2 EXP</t>
  </si>
  <si>
    <t xml:space="preserve">Y2 AGG</t>
  </si>
  <si>
    <t xml:space="preserve">Y3 CON</t>
  </si>
  <si>
    <t xml:space="preserve">Y3 EXP</t>
  </si>
  <si>
    <t xml:space="preserve">Y3 AGG</t>
  </si>
  <si>
    <t xml:space="preserve">AUTOERA AI — HIRING PLAN &amp; TRACKER  |  Month-by-Month Hiring Strategy</t>
  </si>
  <si>
    <t xml:space="preserve">#</t>
  </si>
  <si>
    <t xml:space="preserve">Role</t>
  </si>
  <si>
    <t xml:space="preserve">Hire Month</t>
  </si>
  <si>
    <t xml:space="preserve">Monthly Salary (₹)</t>
  </si>
  <si>
    <t xml:space="preserve">Annual Cost (₹)</t>
  </si>
  <si>
    <t xml:space="preserve">Type</t>
  </si>
  <si>
    <t xml:space="preserve">Priority</t>
  </si>
  <si>
    <t xml:space="preserve">Status</t>
  </si>
  <si>
    <t xml:space="preserve">ESOP %</t>
  </si>
  <si>
    <t xml:space="preserve">ROI Justification</t>
  </si>
  <si>
    <t xml:space="preserve">CEO / Founder (SJ)</t>
  </si>
  <si>
    <t xml:space="preserve">FTE</t>
  </si>
  <si>
    <t xml:space="preserve">CRITICAL</t>
  </si>
  <si>
    <t xml:space="preserve">Filled</t>
  </si>
  <si>
    <t xml:space="preserve">Revenue, fundraising, product direction</t>
  </si>
  <si>
    <t xml:space="preserve">Full-Stack Engineer #1 (FastAPI + React)</t>
  </si>
  <si>
    <t xml:space="preserve">Hire Now</t>
  </si>
  <si>
    <t xml:space="preserve">1.5%</t>
  </si>
  <si>
    <t xml:space="preserve">Core platform — cannot build MVP without</t>
  </si>
  <si>
    <t xml:space="preserve">Full-Stack Engineer #2 (Mobile / React Native)</t>
  </si>
  <si>
    <t xml:space="preserve">Mobile apps — Customer + Advisor app = revenue trigger</t>
  </si>
  <si>
    <t xml:space="preserve">Full-Stack Engineer #3 (Backend / DevOps)</t>
  </si>
  <si>
    <t xml:space="preserve">Hire M2</t>
  </si>
  <si>
    <t xml:space="preserve">1.0%</t>
  </si>
  <si>
    <t xml:space="preserve">Infrastructure, CI/CD, security — operational foundation</t>
  </si>
  <si>
    <t xml:space="preserve">Automotive Domain Expert (ex-Dealer GM)</t>
  </si>
  <si>
    <t xml:space="preserve">Product validation + dealer network access — unfair advantage</t>
  </si>
  <si>
    <t xml:space="preserve">AI/ML Engineer (NLP + LLM integration)</t>
  </si>
  <si>
    <t xml:space="preserve">HIGH</t>
  </si>
  <si>
    <t xml:space="preserve">Hire M3</t>
  </si>
  <si>
    <t xml:space="preserve">AI layer — differentiator from Month 3 onwards</t>
  </si>
  <si>
    <t xml:space="preserve">CS Manager (Customer Success)</t>
  </si>
  <si>
    <t xml:space="preserve">0.75%</t>
  </si>
  <si>
    <t xml:space="preserve">First dealer retention = first renewal revenue signal</t>
  </si>
  <si>
    <t xml:space="preserve">BD / Sales Executive (ex-OEM rep)</t>
  </si>
  <si>
    <t xml:space="preserve">Hire M4</t>
  </si>
  <si>
    <t xml:space="preserve">Commission-heavy. Dealer network = fastest GTM channel</t>
  </si>
  <si>
    <t xml:space="preserve">UI/UX Designer (Figma specialist)</t>
  </si>
  <si>
    <t xml:space="preserve">Freelance</t>
  </si>
  <si>
    <t xml:space="preserve">Contract</t>
  </si>
  <si>
    <t xml:space="preserve">—%</t>
  </si>
  <si>
    <t xml:space="preserve">6-month contract ₹20K/month. Design system + 5 app screens</t>
  </si>
  <si>
    <t xml:space="preserve">Legal Retainer (startup CA firm)</t>
  </si>
  <si>
    <t xml:space="preserve">Retainer</t>
  </si>
  <si>
    <t xml:space="preserve">Engage Now</t>
  </si>
  <si>
    <t xml:space="preserve">₹25K/month — employment contracts, investor docs, GST</t>
  </si>
  <si>
    <t xml:space="preserve">Accounting / GST (outsourced)</t>
  </si>
  <si>
    <t xml:space="preserve">Outsource</t>
  </si>
  <si>
    <t xml:space="preserve">₹15K/month — clean books from Day 1 for investor diligence</t>
  </si>
  <si>
    <t xml:space="preserve">WhatsApp Integration Specialist</t>
  </si>
  <si>
    <t xml:space="preserve">MEDIUM</t>
  </si>
  <si>
    <t xml:space="preserve">Contract M2</t>
  </si>
  <si>
    <t xml:space="preserve">₹20K × 3 months. Gupshup API, template management</t>
  </si>
  <si>
    <t xml:space="preserve">Content Writer (technical + LinkedIn)</t>
  </si>
  <si>
    <t xml:space="preserve">₹10K/month. Thought leadership + SEO from Month 4</t>
  </si>
  <si>
    <t xml:space="preserve">Senior Full-Stack Engineer #4</t>
  </si>
  <si>
    <t xml:space="preserve">Hire M8</t>
  </si>
  <si>
    <t xml:space="preserve">Fleet + EV modules require dedicated engineer</t>
  </si>
  <si>
    <t xml:space="preserve">Data Engineer (pipelines + analytics)</t>
  </si>
  <si>
    <t xml:space="preserve">Hire M10</t>
  </si>
  <si>
    <t xml:space="preserve">Dashboards + OBD-II data pipeline at scale</t>
  </si>
  <si>
    <t xml:space="preserve">Regional Sales #2 (Coimbatore)</t>
  </si>
  <si>
    <t xml:space="preserve">Hire M12</t>
  </si>
  <si>
    <t xml:space="preserve">0.5%</t>
  </si>
  <si>
    <t xml:space="preserve">Tamil Nadu market expansion — CBE dealer network</t>
  </si>
  <si>
    <t xml:space="preserve">CTO (external hire)</t>
  </si>
  <si>
    <t xml:space="preserve">Hire M14</t>
  </si>
  <si>
    <t xml:space="preserve">2.0%</t>
  </si>
  <si>
    <t xml:space="preserve">Architecture leadership as platform scales to 100+ dealers</t>
  </si>
  <si>
    <t xml:space="preserve">Product Manager</t>
  </si>
  <si>
    <t xml:space="preserve">Hire M16</t>
  </si>
  <si>
    <t xml:space="preserve">OEM dashboard + Enterprise features ownership</t>
  </si>
  <si>
    <t xml:space="preserve">Regional Sales #3 (Hyderabad)</t>
  </si>
  <si>
    <t xml:space="preserve">Hire M18</t>
  </si>
  <si>
    <t xml:space="preserve">AP+TG market — 5,000+ dealerships</t>
  </si>
  <si>
    <t xml:space="preserve">Head of Customer Success</t>
  </si>
  <si>
    <t xml:space="preserve">Hire M20</t>
  </si>
  <si>
    <t xml:space="preserve">Scales CS function for 150+ dealer retention</t>
  </si>
  <si>
    <t xml:space="preserve">ANNUAL HEADCOUNT COST SUMMARY</t>
  </si>
  <si>
    <t xml:space="preserve">Year 1 FTE Salaries (₹)</t>
  </si>
  <si>
    <t xml:space="preserve">Year 1 Contract/Outsource (₹)</t>
  </si>
  <si>
    <t xml:space="preserve">Year 1 TOTAL People Cost (₹)</t>
  </si>
  <si>
    <t xml:space="preserve">Total ESOP Pool Reserved</t>
  </si>
  <si>
    <t xml:space="preserve">10% of equity</t>
  </si>
  <si>
    <t xml:space="preserve">AUTOERA AI — MONTHLY CASH FLOW TRACKER  |  Live Operating Dashboard</t>
  </si>
  <si>
    <t xml:space="preserve">CATEGORY</t>
  </si>
  <si>
    <t xml:space="preserve">Month 1
Jan</t>
  </si>
  <si>
    <t xml:space="preserve">Month 2
Feb</t>
  </si>
  <si>
    <t xml:space="preserve">Month 3
Mar</t>
  </si>
  <si>
    <t xml:space="preserve">Month 4
Apr</t>
  </si>
  <si>
    <t xml:space="preserve">Month 5
May</t>
  </si>
  <si>
    <t xml:space="preserve">Month 6
Jun</t>
  </si>
  <si>
    <t xml:space="preserve">Month 7
Jul</t>
  </si>
  <si>
    <t xml:space="preserve">Month 8
Aug</t>
  </si>
  <si>
    <t xml:space="preserve">Month 9
Sep</t>
  </si>
  <si>
    <t xml:space="preserve">Month 10
Oct</t>
  </si>
  <si>
    <t xml:space="preserve">Month 11
Nov</t>
  </si>
  <si>
    <t xml:space="preserve">Month 12
Dec</t>
  </si>
  <si>
    <t xml:space="preserve">OPENING BALANCE</t>
  </si>
  <si>
    <t xml:space="preserve">── INFLOWS ──</t>
  </si>
  <si>
    <t xml:space="preserve">  Investment Capital Received</t>
  </si>
  <si>
    <t xml:space="preserve">  SaaS Subscriptions Revenue</t>
  </si>
  <si>
    <t xml:space="preserve">  Transaction Fees Revenue</t>
  </si>
  <si>
    <t xml:space="preserve">  Other Revenue</t>
  </si>
  <si>
    <t xml:space="preserve">TOTAL INFLOWS</t>
  </si>
  <si>
    <t xml:space="preserve">── OUTFLOWS ──</t>
  </si>
  <si>
    <t xml:space="preserve">  Engineering Salaries</t>
  </si>
  <si>
    <t xml:space="preserve">  AI/ML Salary</t>
  </si>
  <si>
    <t xml:space="preserve">  AWS + Infrastructure</t>
  </si>
  <si>
    <t xml:space="preserve">  AI API Costs (GPT, Claude)</t>
  </si>
  <si>
    <t xml:space="preserve">  WhatsApp API</t>
  </si>
  <si>
    <t xml:space="preserve">  Sales Executive Salary</t>
  </si>
  <si>
    <t xml:space="preserve">  Automotive Domain Expert</t>
  </si>
  <si>
    <t xml:space="preserve">  Customer Success Manager</t>
  </si>
  <si>
    <t xml:space="preserve">  Founder Salary</t>
  </si>
  <si>
    <t xml:space="preserve">  Office / Coworking</t>
  </si>
  <si>
    <t xml:space="preserve">  Legal Retainer</t>
  </si>
  <si>
    <t xml:space="preserve">  Accounting / GST</t>
  </si>
  <si>
    <t xml:space="preserve">  Marketing Budget</t>
  </si>
  <si>
    <t xml:space="preserve">  Travel + Events</t>
  </si>
  <si>
    <t xml:space="preserve">  Software Licences + Tools</t>
  </si>
  <si>
    <t xml:space="preserve">  Miscellaneous / Other</t>
  </si>
  <si>
    <t xml:space="preserve">TOTAL OUTFLOWS</t>
  </si>
  <si>
    <t xml:space="preserve">NET CASH FLOW (Month)</t>
  </si>
  <si>
    <t xml:space="preserve">CLOSING BALANCE</t>
  </si>
  <si>
    <t xml:space="preserve">BURN RATE (Monthly)</t>
  </si>
  <si>
    <t xml:space="preserve">RUNWAY (months remaining)</t>
  </si>
  <si>
    <t xml:space="preserve">CUMULATIVE REVENUE</t>
  </si>
  <si>
    <t xml:space="preserve">📌 INSTRUCTIONS: Enter actual amounts in ₹ (not Lakhs). Blue cells = input. Black cells = auto-calculated. Update monthly on the 1st.</t>
  </si>
  <si>
    <t xml:space="preserve">AUTOERA AI — INVESTOR-GRADE KPI DASHBOARD  |  Updated Monthly</t>
  </si>
  <si>
    <t xml:space="preserve">NORTH STAR METRICS — THE NUMBERS THAT MATTER MOST</t>
  </si>
  <si>
    <t xml:space="preserve">KPI</t>
  </si>
  <si>
    <t xml:space="preserve">Previous Month</t>
  </si>
  <si>
    <t xml:space="preserve">Current Month</t>
  </si>
  <si>
    <t xml:space="preserve">Target</t>
  </si>
  <si>
    <t xml:space="preserve">Trend</t>
  </si>
  <si>
    <t xml:space="preserve">Investor Benchmark</t>
  </si>
  <si>
    <t xml:space="preserve">Notes</t>
  </si>
  <si>
    <t xml:space="preserve">Monthly Recurring Revenue (MRR)</t>
  </si>
  <si>
    <t xml:space="preserve">₹0</t>
  </si>
  <si>
    <t xml:space="preserve">₹5L by M12</t>
  </si>
  <si>
    <t xml:space="preserve">🔴 Behind</t>
  </si>
  <si>
    <t xml:space="preserve">→</t>
  </si>
  <si>
    <t xml:space="preserve">&gt;₹10L MRR for Seed</t>
  </si>
  <si>
    <t xml:space="preserve">Primary health metric</t>
  </si>
  <si>
    <t xml:space="preserve">Annual Recurring Revenue (ARR)</t>
  </si>
  <si>
    <t xml:space="preserve">₹60L by M12</t>
  </si>
  <si>
    <t xml:space="preserve">&gt;₹1Cr ARR for Series A</t>
  </si>
  <si>
    <t xml:space="preserve">ARR = MRR × 12</t>
  </si>
  <si>
    <t xml:space="preserve">0</t>
  </si>
  <si>
    <t xml:space="preserve">50 by M12</t>
  </si>
  <si>
    <t xml:space="preserve">100+ for Series A</t>
  </si>
  <si>
    <t xml:space="preserve">NOT pilots — paying customers</t>
  </si>
  <si>
    <t xml:space="preserve">MRR Growth Rate (Month-on-Month)</t>
  </si>
  <si>
    <t xml:space="preserve">&gt;15% MoM</t>
  </si>
  <si>
    <t xml:space="preserve">⚪ N/A</t>
  </si>
  <si>
    <t xml:space="preserve">&gt;20% for Series A-ready</t>
  </si>
  <si>
    <t xml:space="preserve">15–25% MoM = healthy SaaS</t>
  </si>
  <si>
    <t xml:space="preserve">Monthly Burn Rate</t>
  </si>
  <si>
    <t xml:space="preserve">₹5.5L</t>
  </si>
  <si>
    <t xml:space="preserve">&lt;₹9L/month</t>
  </si>
  <si>
    <t xml:space="preserve">🟢 On Track</t>
  </si>
  <si>
    <t xml:space="preserve">↑</t>
  </si>
  <si>
    <t xml:space="preserve">&lt;15% of quarterly funding</t>
  </si>
  <si>
    <t xml:space="preserve">Track weekly in Year 1</t>
  </si>
  <si>
    <t xml:space="preserve">Runway Remaining</t>
  </si>
  <si>
    <t xml:space="preserve">22 months</t>
  </si>
  <si>
    <t xml:space="preserve">&gt;12 months always</t>
  </si>
  <si>
    <t xml:space="preserve">🟢 Good</t>
  </si>
  <si>
    <t xml:space="preserve">↓</t>
  </si>
  <si>
    <t xml:space="preserve">18+ months at all times</t>
  </si>
  <si>
    <t xml:space="preserve">Below 6 = EMERGENCY</t>
  </si>
  <si>
    <t xml:space="preserve">Customer Acquisition Cost (CAC)</t>
  </si>
  <si>
    <t xml:space="preserve">&lt;₹15,000</t>
  </si>
  <si>
    <t xml:space="preserve">&lt;3 months payback for SaaS</t>
  </si>
  <si>
    <t xml:space="preserve">Founder-led = near zero initially</t>
  </si>
  <si>
    <t xml:space="preserve">LTV (Lifetime Value per Dealer)</t>
  </si>
  <si>
    <t xml:space="preserve">&gt;₹4.5L</t>
  </si>
  <si>
    <t xml:space="preserve">LTV:CAC &gt; 3x minimum</t>
  </si>
  <si>
    <t xml:space="preserve">₹18K/year × 25-month avg retention</t>
  </si>
  <si>
    <t xml:space="preserve">Net Revenue Retention (NRR)</t>
  </si>
  <si>
    <t xml:space="preserve">&gt;100%</t>
  </si>
  <si>
    <t xml:space="preserve">&gt;110% = world-class</t>
  </si>
  <si>
    <t xml:space="preserve">Expansion &gt; churn = strong moat</t>
  </si>
  <si>
    <t xml:space="preserve">Monthly Churn Rate</t>
  </si>
  <si>
    <t xml:space="preserve">&lt;5%/month</t>
  </si>
  <si>
    <t xml:space="preserve">&lt;2% = Series A quality</t>
  </si>
  <si>
    <t xml:space="preserve">1 churned dealer = months of effort lost</t>
  </si>
  <si>
    <t xml:space="preserve">NPS Score (Net Promoter Score)</t>
  </si>
  <si>
    <t xml:space="preserve">&gt;40</t>
  </si>
  <si>
    <t xml:space="preserve">&gt;50 = Series A narrative</t>
  </si>
  <si>
    <t xml:space="preserve">Survey every 90 days minimum</t>
  </si>
  <si>
    <t xml:space="preserve">AI Model Accuracy (service diagnosis)</t>
  </si>
  <si>
    <t xml:space="preserve">&gt;85% by M6</t>
  </si>
  <si>
    <t xml:space="preserve">&gt;90% for enterprise deals</t>
  </si>
  <si>
    <t xml:space="preserve">Core technical differentiator</t>
  </si>
  <si>
    <t xml:space="preserve">Gross Margin</t>
  </si>
  <si>
    <t xml:space="preserve">&gt;60%</t>
  </si>
  <si>
    <t xml:space="preserve">&gt;70% at Series A</t>
  </si>
  <si>
    <t xml:space="preserve">Infra costs must drop as scale grows</t>
  </si>
  <si>
    <t xml:space="preserve">Active Users (DAU/MAU)</t>
  </si>
  <si>
    <t xml:space="preserve">&gt;70% DAU/MAU</t>
  </si>
  <si>
    <t xml:space="preserve">&gt;60% = sticky product</t>
  </si>
  <si>
    <t xml:space="preserve">Low DAU = engagement problem</t>
  </si>
  <si>
    <t xml:space="preserve">Investor Meetings / Month</t>
  </si>
  <si>
    <t xml:space="preserve">5+ from M18</t>
  </si>
  <si>
    <t xml:space="preserve">Start 6 months before needed</t>
  </si>
  <si>
    <t xml:space="preserve">Warm pipeline before Series A</t>
  </si>
  <si>
    <t xml:space="preserve">AUTOERA AI — STARTUP RISK MATRIX  |  Probability × Impact Analysis</t>
  </si>
  <si>
    <t xml:space="preserve">Risk</t>
  </si>
  <si>
    <t xml:space="preserve">Probability</t>
  </si>
  <si>
    <t xml:space="preserve">Impact</t>
  </si>
  <si>
    <t xml:space="preserve">Risk Score</t>
  </si>
  <si>
    <t xml:space="preserve">Mitigation Strategy</t>
  </si>
  <si>
    <t xml:space="preserve">Slow dealer acquisition — product exists but sales stall</t>
  </si>
  <si>
    <t xml:space="preserve">Market</t>
  </si>
  <si>
    <t xml:space="preserve">45%</t>
  </si>
  <si>
    <t xml:space="preserve">90%</t>
  </si>
  <si>
    <t xml:space="preserve">0.41</t>
  </si>
  <si>
    <t xml:space="preserve">Founder does all sales for M1–M6. No sales hire until M4. Validate with real calls daily. If &lt;5 paying by M6 → pivot to workshop-only model.</t>
  </si>
  <si>
    <t xml:space="preserve">AI API costs spike beyond budget (GPT-4o pricing)</t>
  </si>
  <si>
    <t xml:space="preserve">Financial</t>
  </si>
  <si>
    <t xml:space="preserve">35%</t>
  </si>
  <si>
    <t xml:space="preserve">65%</t>
  </si>
  <si>
    <t xml:space="preserve">0.23</t>
  </si>
  <si>
    <t xml:space="preserve">Hard cap at ₹65K/month. Switch to Gemini Flash or self-hosted Llama for high-volume low-stakes tasks. Monitor daily, not monthly.</t>
  </si>
  <si>
    <t xml:space="preserve">Key engineer quits in first 6 months</t>
  </si>
  <si>
    <t xml:space="preserve">People</t>
  </si>
  <si>
    <t xml:space="preserve">30%</t>
  </si>
  <si>
    <t xml:space="preserve">85%</t>
  </si>
  <si>
    <t xml:space="preserve">0.26</t>
  </si>
  <si>
    <t xml:space="preserve">ESOP vesting cliff at 12 months (25% at M12, rest monthly). No single engineer owns critical system alone. Pair programming required for core modules.</t>
  </si>
  <si>
    <t xml:space="preserve">MVP takes longer than 90 days</t>
  </si>
  <si>
    <t xml:space="preserve">Product</t>
  </si>
  <si>
    <t xml:space="preserve">50%</t>
  </si>
  <si>
    <t xml:space="preserve">70%</t>
  </si>
  <si>
    <t xml:space="preserve">0.35</t>
  </si>
  <si>
    <t xml:space="preserve">Define MVP as ONE module only: ServicePulse (job card + WhatsApp updates). Cut everything else. First dealer live by Day 60 — even if imperfect.</t>
  </si>
  <si>
    <t xml:space="preserve">OEM partnership fails to materialise</t>
  </si>
  <si>
    <t xml:space="preserve">55%</t>
  </si>
  <si>
    <t xml:space="preserve">0.28</t>
  </si>
  <si>
    <t xml:space="preserve">OEM deal is Year 2+ story. Not required for Series A. Focus on direct dealer sales only. OEM = upside, not plan.</t>
  </si>
  <si>
    <t xml:space="preserve">Competitor raises large round (CDK, Tekion India)</t>
  </si>
  <si>
    <t xml:space="preserve">Competition</t>
  </si>
  <si>
    <t xml:space="preserve">0.17</t>
  </si>
  <si>
    <t xml:space="preserve">They serve large dealers. AutoEra targets small/medium dealers ignored by Tekion. Niche + Tamil language + affordability = defensible position.</t>
  </si>
  <si>
    <t xml:space="preserve">DPDP Act compliance violation</t>
  </si>
  <si>
    <t xml:space="preserve">Legal</t>
  </si>
  <si>
    <t xml:space="preserve">20%</t>
  </si>
  <si>
    <t xml:space="preserve">0.18</t>
  </si>
  <si>
    <t xml:space="preserve">Engage legal counsel from Day 1. ₹3L/year retainer. Consent framework live before first dealer. Conduct audit every 6 months. Never cut compliance.</t>
  </si>
  <si>
    <t xml:space="preserve">WhatsApp Business API disruption (Meta policy change)</t>
  </si>
  <si>
    <t xml:space="preserve">Technology</t>
  </si>
  <si>
    <t xml:space="preserve">60%</t>
  </si>
  <si>
    <t xml:space="preserve">0.12</t>
  </si>
  <si>
    <t xml:space="preserve">Multi-channel fallback: SMS (Exotel), email, push notification. WhatsApp is primary, not sole. API-first design allows channel swap in 2 weeks.</t>
  </si>
  <si>
    <t xml:space="preserve">Founder burnout / health issue</t>
  </si>
  <si>
    <t xml:space="preserve">Founder</t>
  </si>
  <si>
    <t xml:space="preserve">95%</t>
  </si>
  <si>
    <t xml:space="preserve">0.33</t>
  </si>
  <si>
    <t xml:space="preserve">Set 6-day work week maximum. Hire domain expert early to share operational load. Build board/advisor relationship for emergency decision support.</t>
  </si>
  <si>
    <t xml:space="preserve">Bridge funding unavailable at M18</t>
  </si>
  <si>
    <t xml:space="preserve">40%</t>
  </si>
  <si>
    <t xml:space="preserve">0.36</t>
  </si>
  <si>
    <t xml:space="preserve">Contingency reserve of ₹12L. Revenue-first model means break-even possible before M20 in expected scenario. Never let runway drop below 6 months.</t>
  </si>
  <si>
    <t xml:space="preserve">Large dealer churn after pilot</t>
  </si>
  <si>
    <t xml:space="preserve">0.24</t>
  </si>
  <si>
    <t xml:space="preserve">First 10 dealers receive 90-day free service. Deep success manager involvement. Exit interview mandatory. Root cause addressed before Month 6.</t>
  </si>
  <si>
    <t xml:space="preserve">AI model hallucinations damage dealer trust</t>
  </si>
  <si>
    <t xml:space="preserve">AI/Tech</t>
  </si>
  <si>
    <t xml:space="preserve">0.20</t>
  </si>
  <si>
    <t xml:space="preserve">Human-in-loop for all customer-facing outputs. Confidence threshold of 85% before auto-send. All AI suggestions show confidence score. Review weekly.</t>
  </si>
  <si>
    <t xml:space="preserve">India economic slowdown — auto sector slump</t>
  </si>
  <si>
    <t xml:space="preserve">25%</t>
  </si>
  <si>
    <t xml:space="preserve">0.15</t>
  </si>
  <si>
    <t xml:space="preserve">Automotive after-sales (service, insurance) is recession-resistant. Dealers still need to retain existing customers. Insurance renewal = mandatory. Fleet efficiency saves money in downturn.</t>
  </si>
  <si>
    <t xml:space="preserve">Data breach — customer PII exposed</t>
  </si>
  <si>
    <t xml:space="preserve">15%</t>
  </si>
  <si>
    <t xml:space="preserve">0.14</t>
  </si>
  <si>
    <t xml:space="preserve">AWS WAF + RLS + AES-256 from Day 1. Penetration test at M6 and M12. Cyber insurance from Day 1. DPDP compliance. Pre-approved breach response runbook.</t>
  </si>
  <si>
    <t xml:space="preserve">Serial entrepreneur distraction — new venture</t>
  </si>
  <si>
    <t xml:space="preserve">Formal commitment to board: AutoEra is sole focus for 24 months. All other ventures moved to passive management or trusted operator. Accountability partner.</t>
  </si>
  <si>
    <t xml:space="preserve">AUTOERA AI — MILESTONE-GATED SPENDING TRACKER  |  Money Released Only When Milestones Are Hit</t>
  </si>
  <si>
    <t xml:space="preserve">Milestone</t>
  </si>
  <si>
    <t xml:space="preserve">Target Month</t>
  </si>
  <si>
    <t xml:space="preserve">Actual Month</t>
  </si>
  <si>
    <t xml:space="preserve">Success Criteria (Quantified)</t>
  </si>
  <si>
    <t xml:space="preserve">Capital Released (₹)</t>
  </si>
  <si>
    <t xml:space="preserve">Next Action If Missed</t>
  </si>
  <si>
    <t xml:space="preserve">Foundation Complete</t>
  </si>
  <si>
    <t xml:space="preserve">Company reg + bank + AWS + 3 engineers onboarded + legal retainer signed</t>
  </si>
  <si>
    <t xml:space="preserve">🟡 In Progress</t>
  </si>
  <si>
    <t xml:space="preserve">Extend by 2 weeks max. Not a negotiable skip.</t>
  </si>
  <si>
    <t xml:space="preserve">MVP Live (ServicePulse v1)</t>
  </si>
  <si>
    <t xml:space="preserve">Job card creation + WhatsApp auto-updates working in 2 pilot dealers</t>
  </si>
  <si>
    <t xml:space="preserve">⚪ Not Started</t>
  </si>
  <si>
    <t xml:space="preserve">Cut features. Ship minimum. Pilots do not need to be perfect.</t>
  </si>
  <si>
    <t xml:space="preserve">First ₹2 Lakh MRR</t>
  </si>
  <si>
    <t xml:space="preserve">10 paying dealers, min ₹20,000 MRR each, 0 churned in Month 1</t>
  </si>
  <si>
    <t xml:space="preserve">If &lt;5 paying by M6 → activate Plan B (workshop-only pivot)</t>
  </si>
  <si>
    <t xml:space="preserve">Product-Market Fit Signal</t>
  </si>
  <si>
    <t xml:space="preserve">30 paying dealers, NPS &gt;40, &lt;5% monthly churn, 3 organic referrals received</t>
  </si>
  <si>
    <t xml:space="preserve">If not hit by M9 → reduce team by 1, extend runway, pivot feature set</t>
  </si>
  <si>
    <t xml:space="preserve">₹15 Lakh MRR</t>
  </si>
  <si>
    <t xml:space="preserve">60+ paying dealers, MRR ≥ ₹15L, 2 months of positive net cash flow</t>
  </si>
  <si>
    <t xml:space="preserve">If missed → delay CTO hire to M18, cut marketing to zero</t>
  </si>
  <si>
    <t xml:space="preserve">₹35 Lakh MRR</t>
  </si>
  <si>
    <t xml:space="preserve">120+ paying dealers, NRR &gt;110%, 1 OEM LOI signed, gross margin &gt;65%</t>
  </si>
  <si>
    <t xml:space="preserve">Series A fundraising must start at this milestone or later</t>
  </si>
  <si>
    <t xml:space="preserve">₹60 Lakh MRR / Series A Ready</t>
  </si>
  <si>
    <t xml:space="preserve">200+ dealers, ARR ≥ ₹7.2Cr, 3yr projections credible, investor pipeline warm</t>
  </si>
  <si>
    <t xml:space="preserve">If not here: bridge round or profitable operation on current revenue</t>
  </si>
  <si>
    <t xml:space="preserve">CONTINGENCY RESERVE</t>
  </si>
  <si>
    <t xml:space="preserve">M15+</t>
  </si>
  <si>
    <t xml:space="preserve">Only unlocked when any existential threat is confirmed by board</t>
  </si>
  <si>
    <t xml:space="preserve">🔴 LOCKED</t>
  </si>
  <si>
    <t xml:space="preserve">Board vote required. Cannot be spent without 2 of 3 board member approval</t>
  </si>
  <si>
    <t xml:space="preserve">EMERGENCY RESERVE</t>
  </si>
  <si>
    <t xml:space="preserve">Crisis only</t>
  </si>
  <si>
    <t xml:space="preserve">Business closure risk only — last resort before shutdown</t>
  </si>
  <si>
    <t xml:space="preserve">Use this and it means business is in crisis. Escalate to investors.</t>
  </si>
  <si>
    <t xml:space="preserve">TOTAL</t>
  </si>
  <si>
    <t xml:space="preserve">Full ₹2 Crore allocated via milestone gates</t>
  </si>
  <si>
    <t xml:space="preserve">AUTOERA AI — INVESTOR READINESS TRACKER  |  Seed → Pre-Series A → Series A</t>
  </si>
  <si>
    <t xml:space="preserve">Round</t>
  </si>
  <si>
    <t xml:space="preserve">Timing</t>
  </si>
  <si>
    <t xml:space="preserve">Target Raise</t>
  </si>
  <si>
    <t xml:space="preserve">Expected Valuation</t>
  </si>
  <si>
    <t xml:space="preserve">Key Condition to Raise</t>
  </si>
  <si>
    <t xml:space="preserve">SEED ROUND</t>
  </si>
  <si>
    <t xml:space="preserve">M18–M24 (if milestones hit)</t>
  </si>
  <si>
    <t xml:space="preserve">₹3–5 Crores</t>
  </si>
  <si>
    <t xml:space="preserve">₹15–25 Crore post-money</t>
  </si>
  <si>
    <t xml:space="preserve">≥₹15L MRR, ≥60 paying dealers, NPS&gt;40, 12mo churn data, financial audit complete</t>
  </si>
  <si>
    <t xml:space="preserve">PRE-SERIES A</t>
  </si>
  <si>
    <t xml:space="preserve">If needed before Series A</t>
  </si>
  <si>
    <t xml:space="preserve">₹5–10 Crores</t>
  </si>
  <si>
    <t xml:space="preserve">₹40–60 Crore post-money</t>
  </si>
  <si>
    <t xml:space="preserve">₹25–40L MRR, clear path to profitability, 1 OEM LOI, NRR&gt;110%</t>
  </si>
  <si>
    <t xml:space="preserve">SERIES A</t>
  </si>
  <si>
    <t xml:space="preserve">M24–M30 (post-milestone 6)</t>
  </si>
  <si>
    <t xml:space="preserve">₹25–50 Crores</t>
  </si>
  <si>
    <t xml:space="preserve">₹150–250 Crore post-money</t>
  </si>
  <si>
    <t xml:space="preserve">₹60–80L MRR, ARR ≥₹7.2Cr, NRR&gt;120%, team ≥20, data moat proven, 2 OEM contracts</t>
  </si>
  <si>
    <t xml:space="preserve">SERIES A READINESS CHECKLIST — 25 ITEMS</t>
  </si>
  <si>
    <t xml:space="preserve">Minimum for Series A</t>
  </si>
  <si>
    <t xml:space="preserve">Current</t>
  </si>
  <si>
    <t xml:space="preserve">Gap</t>
  </si>
  <si>
    <t xml:space="preserve">ARR</t>
  </si>
  <si>
    <t xml:space="preserve">₹6–10 Crore ARR</t>
  </si>
  <si>
    <t xml:space="preserve">Full gap</t>
  </si>
  <si>
    <t xml:space="preserve">🔴 Far</t>
  </si>
  <si>
    <t xml:space="preserve">MRR Growth</t>
  </si>
  <si>
    <t xml:space="preserve">&gt;15% month-on-month</t>
  </si>
  <si>
    <t xml:space="preserve">N/A</t>
  </si>
  <si>
    <t xml:space="preserve">Track from M3</t>
  </si>
  <si>
    <t xml:space="preserve">Paying Customers</t>
  </si>
  <si>
    <t xml:space="preserve">&gt;150 paying dealers</t>
  </si>
  <si>
    <t xml:space="preserve">150 needed</t>
  </si>
  <si>
    <t xml:space="preserve">NRR (Net Revenue Retention)</t>
  </si>
  <si>
    <t xml:space="preserve">&gt;110%</t>
  </si>
  <si>
    <t xml:space="preserve">Build from M6</t>
  </si>
  <si>
    <t xml:space="preserve">&lt;3%/month</t>
  </si>
  <si>
    <t xml:space="preserve">Measure from M4</t>
  </si>
  <si>
    <t xml:space="preserve">LTV:CAC Ratio</t>
  </si>
  <si>
    <t xml:space="preserve">&gt;5x</t>
  </si>
  <si>
    <t xml:space="preserve">Calculate from M6</t>
  </si>
  <si>
    <t xml:space="preserve">&gt;65%</t>
  </si>
  <si>
    <t xml:space="preserve">Model shows 62–65%</t>
  </si>
  <si>
    <t xml:space="preserve">NPS Score</t>
  </si>
  <si>
    <t xml:space="preserve">&gt;50</t>
  </si>
  <si>
    <t xml:space="preserve">First survey at M3</t>
  </si>
  <si>
    <t xml:space="preserve">3+ organic referrals/month</t>
  </si>
  <si>
    <t xml:space="preserve">Target M9</t>
  </si>
  <si>
    <t xml:space="preserve">Team Size</t>
  </si>
  <si>
    <t xml:space="preserve">&gt;15 FTEs</t>
  </si>
  <si>
    <t xml:space="preserve">1</t>
  </si>
  <si>
    <t xml:space="preserve">14 to hire</t>
  </si>
  <si>
    <t xml:space="preserve">Revenue Predictability</t>
  </si>
  <si>
    <t xml:space="preserve">3+ months of consistent MRR growth</t>
  </si>
  <si>
    <t xml:space="preserve">Starts M6+</t>
  </si>
  <si>
    <t xml:space="preserve">OEM Partnership</t>
  </si>
  <si>
    <t xml:space="preserve">1+ signed OEM contract or LOI</t>
  </si>
  <si>
    <t xml:space="preserve">Target M18</t>
  </si>
  <si>
    <t xml:space="preserve">Audited Financials</t>
  </si>
  <si>
    <t xml:space="preserve">1 year of clean audited accounts</t>
  </si>
  <si>
    <t xml:space="preserve">No</t>
  </si>
  <si>
    <t xml:space="preserve">Engage CA M1</t>
  </si>
  <si>
    <t xml:space="preserve">🟡 Doing</t>
  </si>
  <si>
    <t xml:space="preserve">Legal Compliance (DPDP)</t>
  </si>
  <si>
    <t xml:space="preserve">Full DPDP compliance audit passed</t>
  </si>
  <si>
    <t xml:space="preserve">Engage legal M1</t>
  </si>
  <si>
    <t xml:space="preserve">Data Moat</t>
  </si>
  <si>
    <t xml:space="preserve">3+ months of dealer data that competitors can't replicate</t>
  </si>
  <si>
    <t xml:space="preserve">Builds from M4</t>
  </si>
  <si>
    <t xml:space="preserve">Competitive Moat</t>
  </si>
  <si>
    <t xml:space="preserve">Clear answer to: why can't CDK copy this?</t>
  </si>
  <si>
    <t xml:space="preserve">Tamil AI + price point + workflow lock-in</t>
  </si>
  <si>
    <t xml:space="preserve">🟡 Defining</t>
  </si>
  <si>
    <t xml:space="preserve">Cap Table Cleanliness</t>
  </si>
  <si>
    <t xml:space="preserve">No conflicts, clean founder equity</t>
  </si>
  <si>
    <t xml:space="preserve">Yes</t>
  </si>
  <si>
    <t xml:space="preserve">None</t>
  </si>
  <si>
    <t xml:space="preserve">🟢 Done</t>
  </si>
  <si>
    <t xml:space="preserve">IP Ownership</t>
  </si>
  <si>
    <t xml:space="preserve">All code owned by company, not individuals</t>
  </si>
  <si>
    <t xml:space="preserve">Partial</t>
  </si>
  <si>
    <t xml:space="preserve">Employment IP clause needed</t>
  </si>
  <si>
    <t xml:space="preserve">Customer References</t>
  </si>
  <si>
    <t xml:space="preserve">5+ design partners willing to speak to investors</t>
  </si>
  <si>
    <t xml:space="preserve">First 3 pilots become references</t>
  </si>
  <si>
    <t xml:space="preserve">Financial Model (3yr)</t>
  </si>
  <si>
    <t xml:space="preserve">Credible bottom-up model with unit economics</t>
  </si>
  <si>
    <t xml:space="preserve">Draft</t>
  </si>
  <si>
    <t xml:space="preserve">This workbook is it</t>
  </si>
  <si>
    <t xml:space="preserve">🟡 Done</t>
  </si>
  <si>
    <t xml:space="preserve">Pitch Deck</t>
  </si>
  <si>
    <t xml:space="preserve">20-slide Series A quality deck</t>
  </si>
  <si>
    <t xml:space="preserve">Refine at M18</t>
  </si>
  <si>
    <t xml:space="preserve">🟡 Draft</t>
  </si>
  <si>
    <t xml:space="preserve">Data Room</t>
  </si>
  <si>
    <t xml:space="preserve">Organised VDR with all diligence docs</t>
  </si>
  <si>
    <t xml:space="preserve">Build from M18</t>
  </si>
  <si>
    <t xml:space="preserve">Advisory Board</t>
  </si>
  <si>
    <t xml:space="preserve">2+ credible advisors (automotive + VC)</t>
  </si>
  <si>
    <t xml:space="preserve">Target M6</t>
  </si>
  <si>
    <t xml:space="preserve">🔴 Missing</t>
  </si>
  <si>
    <t xml:space="preserve">International Expansion Plan</t>
  </si>
  <si>
    <t xml:space="preserve">Credible narrative for SEA/Middle East</t>
  </si>
  <si>
    <t xml:space="preserve">Add to pitch at M18</t>
  </si>
  <si>
    <t xml:space="preserve">Exit Strategy</t>
  </si>
  <si>
    <t xml:space="preserve">Clear paths: acquisition, IPO, PE buyout</t>
  </si>
  <si>
    <t xml:space="preserve">Articulate at Series A</t>
  </si>
  <si>
    <t xml:space="preserve">AUTOERA AI — FINAL VERDICT  |  Brutally Realistic Investor Assessment</t>
  </si>
  <si>
    <t xml:space="preserve">Question / Area</t>
  </si>
  <si>
    <t xml:space="preserve">Investor-Grade Answer</t>
  </si>
  <si>
    <t xml:space="preserve">Confidence Level</t>
  </si>
  <si>
    <t xml:space="preserve">QUESTION</t>
  </si>
  <si>
    <t xml:space="preserve">ANSWER</t>
  </si>
  <si>
    <t xml:space="preserve">CONFIDENCE</t>
  </si>
  <si>
    <t xml:space="preserve">1. Is ₹2 Crore enough to start?</t>
  </si>
  <si>
    <t xml:space="preserve">YES — but only if: (a) Founder takes ₹50K/month salary, (b) MVP = 1 module only, (c) first 3 months are engineering + 0 marketing spend, (d) first revenue by M4. It covers 18–22 months runway in the expected scenario. It is NOT enough if you build all 12 modules first.</t>
  </si>
  <si>
    <t xml:space="preserve">2. Ideal burn rate target?</t>
  </si>
  <si>
    <t xml:space="preserve">₹5.5–7L/month for first 6 months. Scale only as MRR scales. Burn &gt; 1.5× MRR is a warning sign. Burn &gt; 3× MRR = existential risk. Target break-even by Month 20 in expected scenario.</t>
  </si>
  <si>
    <t xml:space="preserve">3. Ideal runway?</t>
  </si>
  <si>
    <t xml:space="preserve">Maintain minimum 12 months runway at all times. If it drops below 9 months: stop hiring, cut all non-essential spend, increase founder-led sales intensity to 80% of time.</t>
  </si>
  <si>
    <t xml:space="preserve">4. Fastest route to PMF?</t>
  </si>
  <si>
    <t xml:space="preserve">10 paying dealers who each use the platform daily (&gt;60% DAU/MAU), NPS &gt;40, 3 unprompted referrals received. This typically happens between M6–M9 if product iteration is weekly. Ship fast, get feedback, fix fast.</t>
  </si>
  <si>
    <t xml:space="preserve">5. Fastest route to profitability?</t>
  </si>
  <si>
    <t xml:space="preserve">Month 19–22 in expected scenario. Route: 120 dealers × ₹14,000 avg MRR = ₹16.8L/month. At 65% gross margin = ₹10.9L gross profit. OPEX at ₹10L = slight positive EBITDA. Don't over-hire before revenue confirms.</t>
  </si>
  <si>
    <t xml:space="preserve">6. Fastest route to ₹1 Crore ARR?</t>
  </si>
  <si>
    <t xml:space="preserve">₹1Cr ARR = ₹8.3L MRR. At ₹14,000/dealer = 60 paying dealers. Realistic by Month 15–16 in expected scenario. In aggressive scenario: Month 11. Key: don't aim for ₹1Cr ARR — aim for 60 happy dealers. ARR follows.</t>
  </si>
  <si>
    <t xml:space="preserve">7. Fastest route to ₹10 Crore ARR?</t>
  </si>
  <si>
    <t xml:space="preserve">₹10Cr ARR = ₹83L MRR. At ₹18,000/dealer avg = 460 paying dealers. Requires: 1 OEM distribution deal (adds 100+ dealers instantly), national sales team, Series A deployed. Realistic in Year 3–4.</t>
  </si>
  <si>
    <t xml:space="preserve">LOW-MEDIUM</t>
  </si>
  <si>
    <t xml:space="preserve">8. Probability of startup survival (5 years)?</t>
  </si>
  <si>
    <t xml:space="preserve">Expected scenario: 52%. Startup survival base rate (India, SaaS): 15–20%. AutoEra has structural advantages: real pain point (₹5L/dealer/month ROI), automotive is mandatory spend, WhatsApp automation creates daily engagement. Risk: slow dealer adoption.</t>
  </si>
  <si>
    <t xml:space="preserve">9. Probability of reaching Series A?</t>
  </si>
  <si>
    <t xml:space="preserve">30–40% in expected scenario. Requires hitting ₹6Cr ARR, 150+ dealers, and NRR&gt;110% within 24 months. Critical path: PMF by M9 → 80 dealers by M15 → ₹15L MRR by M18 → Series A raise. Miss any gate = low probability.</t>
  </si>
  <si>
    <t xml:space="preserve">10. Probability of becoming a unicorn?</t>
  </si>
  <si>
    <t xml:space="preserve">2–5%. Realistic range. This is NOT pessimism — most unicorns in automotive SaaS globally are &lt;5 companies. The path: OEM pre-installation mandate + SEA expansion + insurance license + fleet enterprise = ₹15,000Cr ARR scenario. Possible. Not probable. Focus on ₹100Cr ARR first.</t>
  </si>
  <si>
    <t xml:space="preserve">LOW</t>
  </si>
  <si>
    <t xml:space="preserve">11. Founder salary recommendation?</t>
  </si>
  <si>
    <t xml:space="preserve">₹50,000/month (₹6L/year) for the first 12 months. Increase to ₹75K/month at ₹15L MRR. Market rate only after Series A. The investor paid for product, not founder lifestyle. Every rupee saved in founder salary = 1 more month of runway.</t>
  </si>
  <si>
    <t xml:space="preserve">12. Biggest financial mistake to avoid?</t>
  </si>
  <si>
    <t xml:space="preserve">Hiring ahead of revenue. Every hire before product-market fit is a bet — not an investment. The #1 startup killer after funding is: too many people, too many features, too early. Hire slow, fire fast, pay market rate only after Series A.</t>
  </si>
  <si>
    <t xml:space="preserve">13. Emergency survival strategy?</t>
  </si>
  <si>
    <t xml:space="preserve">If MRR not at ₹5L by M12: (1) Reduce team to 4 people (Founder + 2 engineers + CS), (2) Stop all marketing, (3) Pivot to service model (₹1L/dealer for implementation + ₹15K/month SaaS), (4) Target 10 dealers via outbound only. Survive until revenue validates or pivot.</t>
  </si>
  <si>
    <t xml:space="preserve">14. What to absolutely NOT spend money on?</t>
  </si>
  <si>
    <t xml:space="preserve">Office (use coworking), fancy team retreats, PR firm (write your own), paid ads before PMF (waste), large engineering team before MVP validated, CTO before M12, VP Sales before ₹15L MRR, conference booth sponsorship.</t>
  </si>
  <si>
    <t xml:space="preserve">15. Investor-grade action plan for M1–M3?</t>
  </si>
  <si>
    <t xml:space="preserve">M1: Hire 2 engineers + domain expert + legal retainer + AWS setup. M2: MVP build sprint — ServicePulse job card module only. M3: First pilot dealer live, even if ugly. Start charging by M3 — even ₹5,000/month. Real revenue signals real validation.</t>
  </si>
  <si>
    <t xml:space="preserve">AUTOERA AI — CONTINGENCY PLAYBOOK  |  Plans A through F with Activation Triggers</t>
  </si>
  <si>
    <t xml:space="preserve">PLAN A — Startup Succeeds — Full Execution</t>
  </si>
  <si>
    <t xml:space="preserve">SUMMARY:</t>
  </si>
  <si>
    <t xml:space="preserve">Trigger: MRR &gt;₹5L by M12, NPS &gt;40, &lt;5% churn. Action: Full team, all modules, Series A prep from M18. Probability: 50%.</t>
  </si>
  <si>
    <t xml:space="preserve">Action 1</t>
  </si>
  <si>
    <t xml:space="preserve">Execute full 12-module roadmap</t>
  </si>
  <si>
    <t xml:space="preserve">Action 2</t>
  </si>
  <si>
    <t xml:space="preserve">Hire CTO at M14</t>
  </si>
  <si>
    <t xml:space="preserve">Action 3</t>
  </si>
  <si>
    <t xml:space="preserve">OEM partnership target from M12</t>
  </si>
  <si>
    <t xml:space="preserve">Action 4</t>
  </si>
  <si>
    <t xml:space="preserve">Series A raise at M24</t>
  </si>
  <si>
    <t xml:space="preserve">Action 5</t>
  </si>
  <si>
    <t xml:space="preserve">SEA expansion plan from M30</t>
  </si>
  <si>
    <t xml:space="preserve">PLAN B — Slow Growth — Revenue Delayed</t>
  </si>
  <si>
    <t xml:space="preserve">Trigger: MRR &lt;₹3L by M12 but product works and dealers like it. Action: Cut burn 30%, extend runway, focus on top 20 dealers, upsell aggressively. Probability: 30%.</t>
  </si>
  <si>
    <t xml:space="preserve">Reduce team to 7 people — hold M14–M18 hires</t>
  </si>
  <si>
    <t xml:space="preserve">Double founder-led sales effort</t>
  </si>
  <si>
    <t xml:space="preserve">Offer annual prepay at 2-month discount</t>
  </si>
  <si>
    <t xml:space="preserve">Activate referral programme — ₹10K per dealer</t>
  </si>
  <si>
    <t xml:space="preserve">Delay marketing to zero until M15 MRR confirmed</t>
  </si>
  <si>
    <t xml:space="preserve">PLAN C — Pivot — Product Doesn't Fit Dealers</t>
  </si>
  <si>
    <t xml:space="preserve">Trigger: &lt;5 paying dealers after M9, despite 50+ demos. Action: Pivot to multi-brand workshop segment. 25,000+ workshops, lower ticket but faster decision. Probability: 15%.</t>
  </si>
  <si>
    <t xml:space="preserve">Maintain ServicePulse + InsureGuard only</t>
  </si>
  <si>
    <t xml:space="preserve">Drop Sales, Finance, Fleet modules</t>
  </si>
  <si>
    <t xml:space="preserve">Price at ₹3,999/month for workshops</t>
  </si>
  <si>
    <t xml:space="preserve">Target Chennai workshop cluster — 200+ in OMR alone</t>
  </si>
  <si>
    <t xml:space="preserve">Rebuild GTM for workshop owner buyer persona</t>
  </si>
  <si>
    <t xml:space="preserve">PLAN D — Service + SaaS Hybrid</t>
  </si>
  <si>
    <t xml:space="preserve">Trigger: SaaS ARR &lt;₹15L by M15 but clients willing to pay for implementation/customisation. Action: Add ₹1–2L implementation fee per dealer. Service revenue funds runway while SaaS grows. Probability: 20%.</t>
  </si>
  <si>
    <t xml:space="preserve">Charge ₹1,50,000 one-time setup + ₹12,000/month SaaS</t>
  </si>
  <si>
    <t xml:space="preserve">Target 5 large dealers for ₹5L custom implementation</t>
  </si>
  <si>
    <t xml:space="preserve">Use service cash flow to fund SaaS product investment</t>
  </si>
  <si>
    <t xml:space="preserve">Service margins are lower — max 40% — so transition back to SaaS ASAP</t>
  </si>
  <si>
    <t xml:space="preserve">Series A story becomes: profitable hybrid, accelerating toward pure SaaS</t>
  </si>
  <si>
    <t xml:space="preserve">PLAN E — Bootstrap Survival Mode</t>
  </si>
  <si>
    <t xml:space="preserve">Trigger: Funding unavailable for next round and MRR is ₹8–12L. Action: Cut to 6 people, freeze hiring, operate profitably on current MRR. Probability: 10%.</t>
  </si>
  <si>
    <t xml:space="preserve">Reduce team to: Founder + 2 engineers + CS + BD + 1 AI engineer</t>
  </si>
  <si>
    <t xml:space="preserve">Cancel all non-essential subscriptions and tools</t>
  </si>
  <si>
    <t xml:space="preserve">Raise prices for new dealers by 20%</t>
  </si>
  <si>
    <t xml:space="preserve">Move to profitability as the story — 'sustainable SaaS' narrative</t>
  </si>
  <si>
    <t xml:space="preserve">Generate cash flow for 6–12 months, then revisit fundraise at higher valuation</t>
  </si>
  <si>
    <t xml:space="preserve">PLAN F — Acquisition — Strategic Exit</t>
  </si>
  <si>
    <t xml:space="preserve">Trigger: Series A unavailable, team exhausted, but product has 80+ dealers and ₹15L+ MRR. A strategic buyer (Maruti, Hyundai, CDK, Tekion) could offer ₹15–30Cr. Probability: 5% (but dignified exit). Activate if burn &gt; 6 months remaining.</t>
  </si>
  <si>
    <t xml:space="preserve">Identify strategic buyers: OEMs, global DMS companies, insurance cos</t>
  </si>
  <si>
    <t xml:space="preserve">Build acquisition dossier: dealer count, MRR, data moat, tech stack</t>
  </si>
  <si>
    <t xml:space="preserve">Engage M&amp;A advisor — no retainer, success-fee only</t>
  </si>
  <si>
    <t xml:space="preserve">Minimum acceptable offer: ₹15Cr (7.5× invested capital)</t>
  </si>
  <si>
    <t xml:space="preserve">Do NOT accept &lt; ₹10Cr — return capital to investors first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</si>
</sst>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%"/>
    <numFmt numFmtId="166" formatCode="\₹#,##0"/>
    <numFmt numFmtId="167" formatCode="\₹#,##0.0&quot; L&quot;"/>
    <numFmt numFmtId="168" formatCode="0.0%"/>
    <numFmt numFmtId="169" formatCode="0.00&quot; L&quot;"/>
    <numFmt numFmtId="170" formatCode="\(0.00&quot;) L&quot;"/>
    <numFmt numFmtId="171" formatCode="0.0&quot; L&quot;"/>
    <numFmt numFmtId="172" formatCode="#,##0"/>
    <numFmt numFmtId="173" formatCode="#,##0.0&quot; L&quot;"/>
    <numFmt numFmtId="174" formatCode="\₹#,##0.00"/>
    <numFmt numFmtId="175" formatCode="General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C450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E5E7EB"/>
      <name val="Arial"/>
      <family val="0"/>
      <charset val="1"/>
    </font>
    <font>
      <b val="true"/>
      <sz val="14"/>
      <color rgb="FFCC4500"/>
      <name val="Arial"/>
      <family val="0"/>
      <charset val="1"/>
    </font>
    <font>
      <b val="true"/>
      <sz val="14"/>
      <color rgb="FF15803D"/>
      <name val="Arial"/>
      <family val="0"/>
      <charset val="1"/>
    </font>
    <font>
      <b val="true"/>
      <sz val="14"/>
      <color rgb="FFB45309"/>
      <name val="Arial"/>
      <family val="0"/>
      <charset val="1"/>
    </font>
    <font>
      <b val="true"/>
      <sz val="14"/>
      <color rgb="FF0E749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A1628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sz val="10"/>
      <color rgb="FF0A1628"/>
      <name val="Arial"/>
      <family val="0"/>
      <charset val="1"/>
    </font>
    <font>
      <sz val="10"/>
      <color rgb="FF1A3A5C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CC45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sz val="10"/>
      <color rgb="FF991B1B"/>
      <name val="Arial"/>
      <family val="0"/>
      <charset val="1"/>
    </font>
    <font>
      <i val="true"/>
      <sz val="10"/>
      <color rgb="FF991B1B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E5E7EB"/>
      <name val="Arial"/>
      <family val="0"/>
      <charset val="1"/>
    </font>
    <font>
      <sz val="10"/>
      <color rgb="FF15803D"/>
      <name val="Arial"/>
      <family val="0"/>
      <charset val="1"/>
    </font>
    <font>
      <sz val="10"/>
      <color rgb="FF0E749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B45309"/>
      <name val="Arial"/>
      <family val="0"/>
      <charset val="1"/>
    </font>
    <font>
      <b val="true"/>
      <sz val="10"/>
      <color rgb="FFE5E7EB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4"/>
      <color rgb="FF6B7280"/>
      <name val="Arial"/>
      <family val="0"/>
      <charset val="1"/>
    </font>
    <font>
      <i val="true"/>
      <sz val="9"/>
      <color rgb="FF0E7490"/>
      <name val="Arial"/>
      <family val="0"/>
      <charset val="1"/>
    </font>
    <font>
      <sz val="9"/>
      <color rgb="FF0A162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15803D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B45309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37415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A1628"/>
        <bgColor rgb="FF07090F"/>
      </patternFill>
    </fill>
    <fill>
      <patternFill patternType="solid">
        <fgColor rgb="FF07090F"/>
        <bgColor rgb="FF000000"/>
      </patternFill>
    </fill>
    <fill>
      <patternFill patternType="solid">
        <fgColor rgb="FF1A3A5C"/>
        <bgColor rgb="FF374151"/>
      </patternFill>
    </fill>
    <fill>
      <patternFill patternType="solid">
        <fgColor rgb="FFF4F7FB"/>
        <bgColor rgb="FFFFF8F0"/>
      </patternFill>
    </fill>
    <fill>
      <patternFill patternType="solid">
        <fgColor rgb="FFFFFFFF"/>
        <bgColor rgb="FFFFF8F0"/>
      </patternFill>
    </fill>
    <fill>
      <patternFill patternType="solid">
        <fgColor rgb="FFFFF8F0"/>
        <bgColor rgb="FFF4F7FB"/>
      </patternFill>
    </fill>
    <fill>
      <patternFill patternType="solid">
        <fgColor rgb="FFFEF3C7"/>
        <bgColor rgb="FFFFF8F0"/>
      </patternFill>
    </fill>
    <fill>
      <patternFill patternType="solid">
        <fgColor rgb="FF991B1B"/>
        <bgColor rgb="FF800000"/>
      </patternFill>
    </fill>
    <fill>
      <patternFill patternType="solid">
        <fgColor rgb="FFFEE2E2"/>
        <bgColor rgb="FFE5E7EB"/>
      </patternFill>
    </fill>
    <fill>
      <patternFill patternType="solid">
        <fgColor rgb="FFCC4500"/>
        <bgColor rgb="FFB45309"/>
      </patternFill>
    </fill>
    <fill>
      <patternFill patternType="solid">
        <fgColor rgb="FFDCFCE7"/>
        <bgColor rgb="FFE0F2FE"/>
      </patternFill>
    </fill>
    <fill>
      <patternFill patternType="solid">
        <fgColor rgb="FFB45309"/>
        <bgColor rgb="FFCC4500"/>
      </patternFill>
    </fill>
    <fill>
      <patternFill patternType="solid">
        <fgColor rgb="FF15803D"/>
        <bgColor rgb="FF008080"/>
      </patternFill>
    </fill>
    <fill>
      <patternFill patternType="solid">
        <fgColor rgb="FFE0F2FE"/>
        <bgColor rgb="FFE5E7EB"/>
      </patternFill>
    </fill>
    <fill>
      <patternFill patternType="solid">
        <fgColor rgb="FF0E749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35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7090F"/>
      <rgbColor rgb="FF808000"/>
      <rgbColor rgb="FF800080"/>
      <rgbColor rgb="FF0E7490"/>
      <rgbColor rgb="FFF4F7FB"/>
      <rgbColor rgb="FF808080"/>
      <rgbColor rgb="FF9999FF"/>
      <rgbColor rgb="FFB45309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E5E7EB"/>
      <rgbColor rgb="FFFFF8F0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CC4500"/>
      <rgbColor rgb="FF6B7280"/>
      <rgbColor rgb="FF969696"/>
      <rgbColor rgb="FF1A3A5C"/>
      <rgbColor rgb="FF339966"/>
      <rgbColor rgb="FF0A1628"/>
      <rgbColor rgb="FF333300"/>
      <rgbColor rgb="FF991B1B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22"/>
    <col collapsed="false" customWidth="true" hidden="false" outlineLevel="0" max="7" min="7" style="0" width="18"/>
  </cols>
  <sheetData>
    <row r="1" customFormat="false" ht="9.75" hidden="false" customHeight="true" outlineLevel="0" collapsed="false"/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5.7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9.75" hidden="false" customHeight="true" outlineLevel="0" collapsed="false"/>
    <row r="6" customFormat="false" ht="19.5" hidden="false" customHeight="true" outlineLevel="0" collapsed="false">
      <c r="A6" s="4" t="s">
        <v>2</v>
      </c>
      <c r="B6" s="4"/>
      <c r="C6" s="4"/>
      <c r="D6" s="4"/>
      <c r="E6" s="4"/>
      <c r="F6" s="4"/>
      <c r="G6" s="4"/>
    </row>
    <row r="7" customFormat="false" ht="36" hidden="false" customHeight="true" outlineLevel="0" collapsed="false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</row>
    <row r="8" customFormat="false" ht="18" hidden="false" customHeight="true" outlineLevel="0" collapsed="false">
      <c r="A8" s="6" t="s">
        <v>9</v>
      </c>
      <c r="B8" s="7" t="s">
        <v>10</v>
      </c>
      <c r="C8" s="8" t="s">
        <v>11</v>
      </c>
      <c r="D8" s="9" t="s">
        <v>12</v>
      </c>
      <c r="E8" s="7" t="s">
        <v>13</v>
      </c>
      <c r="F8" s="6" t="s">
        <v>14</v>
      </c>
    </row>
    <row r="9" customFormat="false" ht="36" hidden="false" customHeight="true" outlineLevel="0" collapsed="false">
      <c r="A9" s="10" t="s">
        <v>15</v>
      </c>
      <c r="B9" s="10" t="s">
        <v>16</v>
      </c>
      <c r="C9" s="10" t="s">
        <v>17</v>
      </c>
      <c r="D9" s="10" t="s">
        <v>18</v>
      </c>
      <c r="E9" s="10" t="s">
        <v>19</v>
      </c>
      <c r="F9" s="10" t="s">
        <v>20</v>
      </c>
    </row>
    <row r="10" customFormat="false" ht="18" hidden="false" customHeight="true" outlineLevel="0" collapsed="false"/>
    <row r="11" customFormat="false" ht="9.75" hidden="false" customHeight="true" outlineLevel="0" collapsed="false"/>
    <row r="12" customFormat="false" ht="19.5" hidden="false" customHeight="true" outlineLevel="0" collapsed="false">
      <c r="A12" s="4" t="s">
        <v>21</v>
      </c>
      <c r="B12" s="4"/>
      <c r="C12" s="4"/>
      <c r="D12" s="4"/>
      <c r="E12" s="4"/>
      <c r="F12" s="4"/>
      <c r="G12" s="4"/>
    </row>
    <row r="13" customFormat="false" ht="15" hidden="false" customHeight="false" outlineLevel="0" collapsed="false">
      <c r="A13" s="11" t="s">
        <v>22</v>
      </c>
      <c r="B13" s="11" t="s">
        <v>23</v>
      </c>
      <c r="C13" s="11" t="s">
        <v>24</v>
      </c>
      <c r="D13" s="11" t="s">
        <v>25</v>
      </c>
      <c r="E13" s="11" t="s">
        <v>26</v>
      </c>
      <c r="F13" s="11"/>
      <c r="G13" s="11"/>
    </row>
    <row r="14" customFormat="false" ht="15" hidden="false" customHeight="false" outlineLevel="0" collapsed="false">
      <c r="A14" s="12" t="s">
        <v>27</v>
      </c>
      <c r="B14" s="13" t="n">
        <v>0.6</v>
      </c>
      <c r="C14" s="14" t="n">
        <v>12000000</v>
      </c>
      <c r="D14" s="15" t="n">
        <v>120</v>
      </c>
      <c r="E14" s="16" t="s">
        <v>28</v>
      </c>
      <c r="F14" s="16"/>
      <c r="G14" s="16"/>
    </row>
    <row r="15" customFormat="false" ht="15" hidden="false" customHeight="false" outlineLevel="0" collapsed="false">
      <c r="A15" s="17" t="s">
        <v>29</v>
      </c>
      <c r="B15" s="18" t="n">
        <v>0.12</v>
      </c>
      <c r="C15" s="19" t="n">
        <v>2400000</v>
      </c>
      <c r="D15" s="20" t="n">
        <v>24</v>
      </c>
      <c r="E15" s="21" t="s">
        <v>30</v>
      </c>
      <c r="F15" s="21"/>
      <c r="G15" s="21"/>
    </row>
    <row r="16" customFormat="false" ht="15" hidden="false" customHeight="false" outlineLevel="0" collapsed="false">
      <c r="A16" s="12" t="s">
        <v>31</v>
      </c>
      <c r="B16" s="13" t="n">
        <v>0.08</v>
      </c>
      <c r="C16" s="14" t="n">
        <v>1600000</v>
      </c>
      <c r="D16" s="15" t="n">
        <v>16</v>
      </c>
      <c r="E16" s="16" t="s">
        <v>32</v>
      </c>
      <c r="F16" s="16"/>
      <c r="G16" s="16"/>
    </row>
    <row r="17" customFormat="false" ht="15" hidden="false" customHeight="false" outlineLevel="0" collapsed="false">
      <c r="A17" s="17" t="s">
        <v>33</v>
      </c>
      <c r="B17" s="18" t="n">
        <v>0.06</v>
      </c>
      <c r="C17" s="19" t="n">
        <v>1200000</v>
      </c>
      <c r="D17" s="20" t="n">
        <v>12</v>
      </c>
      <c r="E17" s="21" t="s">
        <v>34</v>
      </c>
      <c r="F17" s="21"/>
      <c r="G17" s="21"/>
    </row>
    <row r="18" customFormat="false" ht="15" hidden="false" customHeight="false" outlineLevel="0" collapsed="false">
      <c r="A18" s="12" t="s">
        <v>35</v>
      </c>
      <c r="B18" s="13" t="n">
        <v>0.05</v>
      </c>
      <c r="C18" s="14" t="n">
        <v>1000000</v>
      </c>
      <c r="D18" s="15" t="n">
        <v>10</v>
      </c>
      <c r="E18" s="16" t="s">
        <v>36</v>
      </c>
      <c r="F18" s="16"/>
      <c r="G18" s="16"/>
    </row>
    <row r="19" customFormat="false" ht="15" hidden="false" customHeight="false" outlineLevel="0" collapsed="false">
      <c r="A19" s="17" t="s">
        <v>37</v>
      </c>
      <c r="B19" s="18" t="n">
        <v>0.09</v>
      </c>
      <c r="C19" s="19" t="n">
        <v>1800000</v>
      </c>
      <c r="D19" s="20" t="n">
        <v>18</v>
      </c>
      <c r="E19" s="21" t="s">
        <v>38</v>
      </c>
      <c r="F19" s="21"/>
      <c r="G19" s="21"/>
    </row>
    <row r="21" customFormat="false" ht="9.75" hidden="false" customHeight="true" outlineLevel="0" collapsed="false"/>
    <row r="22" customFormat="false" ht="19.5" hidden="false" customHeight="true" outlineLevel="0" collapsed="false">
      <c r="A22" s="4" t="s">
        <v>39</v>
      </c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22" t="s">
        <v>40</v>
      </c>
      <c r="B23" s="22" t="s">
        <v>41</v>
      </c>
      <c r="C23" s="22" t="s">
        <v>42</v>
      </c>
      <c r="D23" s="22" t="s">
        <v>43</v>
      </c>
      <c r="E23" s="22"/>
      <c r="F23" s="22"/>
      <c r="G23" s="22"/>
    </row>
    <row r="24" customFormat="false" ht="15" hidden="false" customHeight="false" outlineLevel="0" collapsed="false">
      <c r="A24" s="23" t="s">
        <v>44</v>
      </c>
      <c r="B24" s="24" t="s">
        <v>45</v>
      </c>
      <c r="C24" s="25" t="s">
        <v>46</v>
      </c>
      <c r="D24" s="26" t="s">
        <v>47</v>
      </c>
      <c r="E24" s="26"/>
      <c r="F24" s="26"/>
      <c r="G24" s="26"/>
    </row>
    <row r="25" customFormat="false" ht="15" hidden="false" customHeight="false" outlineLevel="0" collapsed="false">
      <c r="A25" s="17" t="s">
        <v>48</v>
      </c>
      <c r="B25" s="27" t="s">
        <v>49</v>
      </c>
      <c r="C25" s="28" t="s">
        <v>50</v>
      </c>
      <c r="D25" s="21" t="s">
        <v>51</v>
      </c>
      <c r="E25" s="21"/>
      <c r="F25" s="21"/>
      <c r="G25" s="21"/>
    </row>
    <row r="26" customFormat="false" ht="15" hidden="false" customHeight="false" outlineLevel="0" collapsed="false">
      <c r="A26" s="23" t="s">
        <v>52</v>
      </c>
      <c r="B26" s="24" t="s">
        <v>53</v>
      </c>
      <c r="C26" s="25" t="s">
        <v>50</v>
      </c>
      <c r="D26" s="26" t="s">
        <v>54</v>
      </c>
      <c r="E26" s="26"/>
      <c r="F26" s="26"/>
      <c r="G26" s="26"/>
    </row>
    <row r="27" customFormat="false" ht="15" hidden="false" customHeight="false" outlineLevel="0" collapsed="false">
      <c r="A27" s="17" t="s">
        <v>55</v>
      </c>
      <c r="B27" s="27" t="s">
        <v>56</v>
      </c>
      <c r="C27" s="28" t="s">
        <v>57</v>
      </c>
      <c r="D27" s="21" t="s">
        <v>58</v>
      </c>
      <c r="E27" s="21"/>
      <c r="F27" s="21"/>
      <c r="G27" s="21"/>
    </row>
    <row r="28" customFormat="false" ht="15" hidden="false" customHeight="false" outlineLevel="0" collapsed="false">
      <c r="A28" s="23" t="s">
        <v>59</v>
      </c>
      <c r="B28" s="24" t="s">
        <v>60</v>
      </c>
      <c r="C28" s="25" t="s">
        <v>46</v>
      </c>
      <c r="D28" s="26" t="s">
        <v>61</v>
      </c>
      <c r="E28" s="26"/>
      <c r="F28" s="26"/>
      <c r="G28" s="26"/>
    </row>
    <row r="29" customFormat="false" ht="15" hidden="false" customHeight="false" outlineLevel="0" collapsed="false">
      <c r="A29" s="17" t="s">
        <v>62</v>
      </c>
      <c r="B29" s="27" t="s">
        <v>63</v>
      </c>
      <c r="C29" s="28" t="s">
        <v>64</v>
      </c>
      <c r="D29" s="21" t="s">
        <v>65</v>
      </c>
      <c r="E29" s="21"/>
      <c r="F29" s="21"/>
      <c r="G29" s="21"/>
    </row>
    <row r="30" customFormat="false" ht="30" hidden="false" customHeight="true" outlineLevel="0" collapsed="false">
      <c r="A30" s="29" t="s">
        <v>66</v>
      </c>
      <c r="B30" s="29"/>
      <c r="C30" s="29"/>
      <c r="D30" s="29"/>
      <c r="E30" s="29"/>
      <c r="F30" s="29"/>
      <c r="G30" s="29"/>
    </row>
  </sheetData>
  <mergeCells count="20">
    <mergeCell ref="A2:G2"/>
    <mergeCell ref="A3:G3"/>
    <mergeCell ref="A6:G6"/>
    <mergeCell ref="A12:G12"/>
    <mergeCell ref="E13:G13"/>
    <mergeCell ref="E14:G14"/>
    <mergeCell ref="E15:G15"/>
    <mergeCell ref="E16:G16"/>
    <mergeCell ref="E17:G17"/>
    <mergeCell ref="E18:G18"/>
    <mergeCell ref="E19:G19"/>
    <mergeCell ref="A22:G22"/>
    <mergeCell ref="D23:G23"/>
    <mergeCell ref="D24:G24"/>
    <mergeCell ref="D25:G25"/>
    <mergeCell ref="D26:G26"/>
    <mergeCell ref="D27:G27"/>
    <mergeCell ref="D28:G28"/>
    <mergeCell ref="D29:G29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30" t="s">
        <v>67</v>
      </c>
      <c r="B1" s="30"/>
      <c r="C1" s="30"/>
      <c r="D1" s="30"/>
      <c r="E1" s="30"/>
    </row>
    <row r="2" customFormat="false" ht="9.75" hidden="false" customHeight="true" outlineLevel="0" collapsed="false"/>
    <row r="3" customFormat="false" ht="19.5" hidden="false" customHeight="true" outlineLevel="0" collapsed="false">
      <c r="A3" s="31" t="s">
        <v>68</v>
      </c>
      <c r="B3" s="31"/>
      <c r="C3" s="31"/>
      <c r="D3" s="31"/>
      <c r="E3" s="31"/>
    </row>
    <row r="4" customFormat="false" ht="15" hidden="false" customHeight="false" outlineLevel="0" collapsed="false">
      <c r="A4" s="11" t="s">
        <v>69</v>
      </c>
      <c r="B4" s="11" t="s">
        <v>24</v>
      </c>
      <c r="C4" s="11" t="s">
        <v>70</v>
      </c>
      <c r="D4" s="11" t="s">
        <v>71</v>
      </c>
      <c r="E4" s="11" t="s">
        <v>72</v>
      </c>
    </row>
    <row r="5" customFormat="false" ht="15" hidden="false" customHeight="false" outlineLevel="0" collapsed="false">
      <c r="A5" s="32" t="s">
        <v>73</v>
      </c>
      <c r="B5" s="14" t="n">
        <v>5400000</v>
      </c>
      <c r="C5" s="33" t="n">
        <v>0.27</v>
      </c>
      <c r="D5" s="34" t="n">
        <v>0.545454545454545</v>
      </c>
      <c r="E5" s="35" t="s">
        <v>74</v>
      </c>
    </row>
    <row r="6" customFormat="false" ht="15" hidden="false" customHeight="false" outlineLevel="0" collapsed="false">
      <c r="A6" s="36" t="s">
        <v>75</v>
      </c>
      <c r="B6" s="19" t="n">
        <v>1200000</v>
      </c>
      <c r="C6" s="37" t="n">
        <v>0.06</v>
      </c>
      <c r="D6" s="38" t="n">
        <v>0.121212121212121</v>
      </c>
      <c r="E6" s="39" t="s">
        <v>76</v>
      </c>
    </row>
    <row r="7" customFormat="false" ht="15" hidden="false" customHeight="false" outlineLevel="0" collapsed="false">
      <c r="A7" s="32" t="s">
        <v>77</v>
      </c>
      <c r="B7" s="14" t="n">
        <v>1000000</v>
      </c>
      <c r="C7" s="33" t="n">
        <v>0.05</v>
      </c>
      <c r="D7" s="34" t="n">
        <v>0.101010101010101</v>
      </c>
      <c r="E7" s="35" t="s">
        <v>78</v>
      </c>
    </row>
    <row r="8" customFormat="false" ht="15" hidden="false" customHeight="false" outlineLevel="0" collapsed="false">
      <c r="A8" s="36" t="s">
        <v>79</v>
      </c>
      <c r="B8" s="19" t="n">
        <v>800000</v>
      </c>
      <c r="C8" s="37" t="n">
        <v>0.04</v>
      </c>
      <c r="D8" s="38" t="n">
        <v>0.0808080808080808</v>
      </c>
      <c r="E8" s="39" t="s">
        <v>80</v>
      </c>
    </row>
    <row r="9" customFormat="false" ht="15" hidden="false" customHeight="false" outlineLevel="0" collapsed="false">
      <c r="A9" s="32" t="s">
        <v>81</v>
      </c>
      <c r="B9" s="14" t="n">
        <v>300000</v>
      </c>
      <c r="C9" s="33" t="n">
        <v>0.015</v>
      </c>
      <c r="D9" s="34" t="n">
        <v>0.0303030303030303</v>
      </c>
      <c r="E9" s="35" t="s">
        <v>82</v>
      </c>
    </row>
    <row r="10" customFormat="false" ht="15" hidden="false" customHeight="false" outlineLevel="0" collapsed="false">
      <c r="A10" s="36" t="s">
        <v>83</v>
      </c>
      <c r="B10" s="19" t="n">
        <v>400000</v>
      </c>
      <c r="C10" s="37" t="n">
        <v>0.02</v>
      </c>
      <c r="D10" s="38" t="n">
        <v>0.0404040404040404</v>
      </c>
      <c r="E10" s="39" t="s">
        <v>84</v>
      </c>
    </row>
    <row r="11" customFormat="false" ht="15" hidden="false" customHeight="false" outlineLevel="0" collapsed="false">
      <c r="A11" s="32" t="s">
        <v>85</v>
      </c>
      <c r="B11" s="14" t="n">
        <v>300000</v>
      </c>
      <c r="C11" s="33" t="n">
        <v>0.015</v>
      </c>
      <c r="D11" s="34" t="n">
        <v>0.0303030303030303</v>
      </c>
      <c r="E11" s="35" t="s">
        <v>86</v>
      </c>
    </row>
    <row r="12" customFormat="false" ht="15" hidden="false" customHeight="false" outlineLevel="0" collapsed="false">
      <c r="A12" s="36" t="s">
        <v>87</v>
      </c>
      <c r="B12" s="19" t="n">
        <v>200000</v>
      </c>
      <c r="C12" s="37" t="n">
        <v>0.01</v>
      </c>
      <c r="D12" s="38" t="n">
        <v>0.0202020202020202</v>
      </c>
      <c r="E12" s="39" t="s">
        <v>88</v>
      </c>
    </row>
    <row r="13" customFormat="false" ht="15" hidden="false" customHeight="false" outlineLevel="0" collapsed="false">
      <c r="A13" s="32" t="s">
        <v>89</v>
      </c>
      <c r="B13" s="14" t="n">
        <v>150000</v>
      </c>
      <c r="C13" s="33" t="n">
        <v>0.0075</v>
      </c>
      <c r="D13" s="34" t="n">
        <v>0.0151515151515152</v>
      </c>
      <c r="E13" s="35" t="s">
        <v>90</v>
      </c>
    </row>
    <row r="14" customFormat="false" ht="15" hidden="false" customHeight="false" outlineLevel="0" collapsed="false">
      <c r="A14" s="36" t="s">
        <v>91</v>
      </c>
      <c r="B14" s="19" t="n">
        <v>150000</v>
      </c>
      <c r="C14" s="37" t="n">
        <v>0.0075</v>
      </c>
      <c r="D14" s="38" t="n">
        <v>0.0151515151515152</v>
      </c>
      <c r="E14" s="39" t="s">
        <v>92</v>
      </c>
    </row>
    <row r="15" customFormat="false" ht="15" hidden="false" customHeight="false" outlineLevel="0" collapsed="false">
      <c r="A15" s="40" t="s">
        <v>93</v>
      </c>
      <c r="B15" s="41" t="n">
        <v>9900000</v>
      </c>
      <c r="C15" s="42" t="n">
        <v>0.495</v>
      </c>
      <c r="D15" s="43" t="n">
        <v>1</v>
      </c>
      <c r="E15" s="44"/>
    </row>
    <row r="16" customFormat="false" ht="7.5" hidden="false" customHeight="true" outlineLevel="0" collapsed="false"/>
    <row r="17" customFormat="false" ht="19.5" hidden="false" customHeight="true" outlineLevel="0" collapsed="false">
      <c r="A17" s="31" t="s">
        <v>94</v>
      </c>
      <c r="B17" s="31"/>
      <c r="C17" s="31"/>
      <c r="D17" s="31"/>
      <c r="E17" s="31"/>
    </row>
    <row r="18" customFormat="false" ht="15" hidden="false" customHeight="false" outlineLevel="0" collapsed="false">
      <c r="A18" s="11" t="s">
        <v>69</v>
      </c>
      <c r="B18" s="11" t="s">
        <v>24</v>
      </c>
      <c r="C18" s="11" t="s">
        <v>70</v>
      </c>
      <c r="D18" s="11" t="s">
        <v>71</v>
      </c>
      <c r="E18" s="11" t="s">
        <v>72</v>
      </c>
    </row>
    <row r="19" customFormat="false" ht="15" hidden="false" customHeight="false" outlineLevel="0" collapsed="false">
      <c r="A19" s="32" t="s">
        <v>95</v>
      </c>
      <c r="B19" s="14" t="n">
        <v>800000</v>
      </c>
      <c r="C19" s="33" t="n">
        <v>0.04</v>
      </c>
      <c r="D19" s="34" t="n">
        <v>0.333333333333333</v>
      </c>
      <c r="E19" s="35" t="s">
        <v>96</v>
      </c>
    </row>
    <row r="20" customFormat="false" ht="15" hidden="false" customHeight="false" outlineLevel="0" collapsed="false">
      <c r="A20" s="36" t="s">
        <v>97</v>
      </c>
      <c r="B20" s="19" t="n">
        <v>800000</v>
      </c>
      <c r="C20" s="37" t="n">
        <v>0.04</v>
      </c>
      <c r="D20" s="38" t="n">
        <v>0.333333333333333</v>
      </c>
      <c r="E20" s="39" t="s">
        <v>98</v>
      </c>
    </row>
    <row r="21" customFormat="false" ht="15" hidden="false" customHeight="false" outlineLevel="0" collapsed="false">
      <c r="A21" s="32" t="s">
        <v>99</v>
      </c>
      <c r="B21" s="14" t="n">
        <v>200000</v>
      </c>
      <c r="C21" s="33" t="n">
        <v>0.01</v>
      </c>
      <c r="D21" s="34" t="n">
        <v>0.0833333333333333</v>
      </c>
      <c r="E21" s="35" t="s">
        <v>100</v>
      </c>
    </row>
    <row r="22" customFormat="false" ht="15" hidden="false" customHeight="false" outlineLevel="0" collapsed="false">
      <c r="A22" s="36" t="s">
        <v>101</v>
      </c>
      <c r="B22" s="19" t="n">
        <v>50000</v>
      </c>
      <c r="C22" s="37" t="n">
        <v>0.0025</v>
      </c>
      <c r="D22" s="38" t="n">
        <v>0.0208333333333333</v>
      </c>
      <c r="E22" s="39" t="s">
        <v>102</v>
      </c>
    </row>
    <row r="23" customFormat="false" ht="15" hidden="false" customHeight="false" outlineLevel="0" collapsed="false">
      <c r="A23" s="32" t="s">
        <v>103</v>
      </c>
      <c r="B23" s="14" t="n">
        <v>100000</v>
      </c>
      <c r="C23" s="33" t="n">
        <v>0.005</v>
      </c>
      <c r="D23" s="34" t="n">
        <v>0.0416666666666667</v>
      </c>
      <c r="E23" s="35" t="s">
        <v>104</v>
      </c>
    </row>
    <row r="24" customFormat="false" ht="15" hidden="false" customHeight="false" outlineLevel="0" collapsed="false">
      <c r="A24" s="36" t="s">
        <v>105</v>
      </c>
      <c r="B24" s="19" t="n">
        <v>300000</v>
      </c>
      <c r="C24" s="37" t="n">
        <v>0.015</v>
      </c>
      <c r="D24" s="38" t="n">
        <v>0.125</v>
      </c>
      <c r="E24" s="39" t="s">
        <v>106</v>
      </c>
    </row>
    <row r="25" customFormat="false" ht="15" hidden="false" customHeight="false" outlineLevel="0" collapsed="false">
      <c r="A25" s="32" t="s">
        <v>107</v>
      </c>
      <c r="B25" s="14" t="n">
        <v>150000</v>
      </c>
      <c r="C25" s="33" t="n">
        <v>0.0075</v>
      </c>
      <c r="D25" s="34" t="n">
        <v>0.0625</v>
      </c>
      <c r="E25" s="35" t="s">
        <v>108</v>
      </c>
    </row>
    <row r="26" customFormat="false" ht="15" hidden="false" customHeight="false" outlineLevel="0" collapsed="false">
      <c r="A26" s="40" t="s">
        <v>109</v>
      </c>
      <c r="B26" s="41" t="n">
        <v>2400000</v>
      </c>
      <c r="C26" s="42" t="n">
        <v>0.12</v>
      </c>
      <c r="D26" s="43" t="n">
        <v>1</v>
      </c>
      <c r="E26" s="44"/>
    </row>
    <row r="27" customFormat="false" ht="7.5" hidden="false" customHeight="true" outlineLevel="0" collapsed="false"/>
    <row r="28" customFormat="false" ht="19.5" hidden="false" customHeight="true" outlineLevel="0" collapsed="false">
      <c r="A28" s="31" t="s">
        <v>110</v>
      </c>
      <c r="B28" s="31"/>
      <c r="C28" s="31"/>
      <c r="D28" s="31"/>
      <c r="E28" s="31"/>
    </row>
    <row r="29" customFormat="false" ht="15" hidden="false" customHeight="false" outlineLevel="0" collapsed="false">
      <c r="A29" s="11" t="s">
        <v>69</v>
      </c>
      <c r="B29" s="11" t="s">
        <v>24</v>
      </c>
      <c r="C29" s="11" t="s">
        <v>70</v>
      </c>
      <c r="D29" s="11" t="s">
        <v>71</v>
      </c>
      <c r="E29" s="11" t="s">
        <v>72</v>
      </c>
    </row>
    <row r="30" customFormat="false" ht="15" hidden="false" customHeight="false" outlineLevel="0" collapsed="false">
      <c r="A30" s="32" t="s">
        <v>111</v>
      </c>
      <c r="B30" s="14" t="n">
        <v>50000</v>
      </c>
      <c r="C30" s="33" t="n">
        <v>0.0025</v>
      </c>
      <c r="D30" s="34" t="n">
        <v>0.0320512820512821</v>
      </c>
      <c r="E30" s="35" t="s">
        <v>112</v>
      </c>
    </row>
    <row r="31" customFormat="false" ht="15" hidden="false" customHeight="false" outlineLevel="0" collapsed="false">
      <c r="A31" s="36" t="s">
        <v>113</v>
      </c>
      <c r="B31" s="19" t="n">
        <v>30000</v>
      </c>
      <c r="C31" s="37" t="n">
        <v>0.0015</v>
      </c>
      <c r="D31" s="38" t="n">
        <v>0.0192307692307692</v>
      </c>
      <c r="E31" s="39" t="s">
        <v>114</v>
      </c>
    </row>
    <row r="32" customFormat="false" ht="15" hidden="false" customHeight="false" outlineLevel="0" collapsed="false">
      <c r="A32" s="32" t="s">
        <v>115</v>
      </c>
      <c r="B32" s="14" t="n">
        <v>300000</v>
      </c>
      <c r="C32" s="33" t="n">
        <v>0.015</v>
      </c>
      <c r="D32" s="34" t="n">
        <v>0.192307692307692</v>
      </c>
      <c r="E32" s="35" t="s">
        <v>116</v>
      </c>
    </row>
    <row r="33" customFormat="false" ht="15" hidden="false" customHeight="false" outlineLevel="0" collapsed="false">
      <c r="A33" s="36" t="s">
        <v>117</v>
      </c>
      <c r="B33" s="19" t="n">
        <v>180000</v>
      </c>
      <c r="C33" s="37" t="n">
        <v>0.009</v>
      </c>
      <c r="D33" s="38" t="n">
        <v>0.115384615384615</v>
      </c>
      <c r="E33" s="39" t="s">
        <v>118</v>
      </c>
    </row>
    <row r="34" customFormat="false" ht="15" hidden="false" customHeight="false" outlineLevel="0" collapsed="false">
      <c r="A34" s="32" t="s">
        <v>119</v>
      </c>
      <c r="B34" s="14" t="n">
        <v>300000</v>
      </c>
      <c r="C34" s="33" t="n">
        <v>0.015</v>
      </c>
      <c r="D34" s="34" t="n">
        <v>0.192307692307692</v>
      </c>
      <c r="E34" s="35" t="s">
        <v>120</v>
      </c>
    </row>
    <row r="35" customFormat="false" ht="15" hidden="false" customHeight="false" outlineLevel="0" collapsed="false">
      <c r="A35" s="36" t="s">
        <v>121</v>
      </c>
      <c r="B35" s="19" t="n">
        <v>600000</v>
      </c>
      <c r="C35" s="37" t="n">
        <v>0.03</v>
      </c>
      <c r="D35" s="38" t="n">
        <v>0.384615384615385</v>
      </c>
      <c r="E35" s="39" t="s">
        <v>122</v>
      </c>
    </row>
    <row r="36" customFormat="false" ht="15" hidden="false" customHeight="false" outlineLevel="0" collapsed="false">
      <c r="A36" s="32" t="s">
        <v>123</v>
      </c>
      <c r="B36" s="14" t="n">
        <v>80000</v>
      </c>
      <c r="C36" s="33" t="n">
        <v>0.004</v>
      </c>
      <c r="D36" s="34" t="n">
        <v>0.0512820512820513</v>
      </c>
      <c r="E36" s="35" t="s">
        <v>124</v>
      </c>
    </row>
    <row r="37" customFormat="false" ht="15" hidden="false" customHeight="false" outlineLevel="0" collapsed="false">
      <c r="A37" s="40" t="s">
        <v>125</v>
      </c>
      <c r="B37" s="41" t="n">
        <v>1560000</v>
      </c>
      <c r="C37" s="42" t="n">
        <v>0.078</v>
      </c>
      <c r="D37" s="43" t="n">
        <v>1</v>
      </c>
      <c r="E37" s="44"/>
    </row>
    <row r="38" customFormat="false" ht="7.5" hidden="false" customHeight="true" outlineLevel="0" collapsed="false"/>
    <row r="39" customFormat="false" ht="19.5" hidden="false" customHeight="true" outlineLevel="0" collapsed="false">
      <c r="A39" s="31" t="s">
        <v>126</v>
      </c>
      <c r="B39" s="31"/>
      <c r="C39" s="31"/>
      <c r="D39" s="31"/>
      <c r="E39" s="31"/>
    </row>
    <row r="40" customFormat="false" ht="15" hidden="false" customHeight="false" outlineLevel="0" collapsed="false">
      <c r="A40" s="11" t="s">
        <v>69</v>
      </c>
      <c r="B40" s="11" t="s">
        <v>24</v>
      </c>
      <c r="C40" s="11" t="s">
        <v>70</v>
      </c>
      <c r="D40" s="11" t="s">
        <v>71</v>
      </c>
      <c r="E40" s="11" t="s">
        <v>72</v>
      </c>
    </row>
    <row r="41" customFormat="false" ht="15" hidden="false" customHeight="false" outlineLevel="0" collapsed="false">
      <c r="A41" s="32" t="s">
        <v>127</v>
      </c>
      <c r="B41" s="14" t="n">
        <v>720000</v>
      </c>
      <c r="C41" s="33" t="n">
        <v>0.036</v>
      </c>
      <c r="D41" s="34" t="n">
        <v>0.631578947368421</v>
      </c>
      <c r="E41" s="35" t="s">
        <v>128</v>
      </c>
    </row>
    <row r="42" customFormat="false" ht="15" hidden="false" customHeight="false" outlineLevel="0" collapsed="false">
      <c r="A42" s="36" t="s">
        <v>129</v>
      </c>
      <c r="B42" s="19" t="n">
        <v>100000</v>
      </c>
      <c r="C42" s="37" t="n">
        <v>0.005</v>
      </c>
      <c r="D42" s="38" t="n">
        <v>0.087719298245614</v>
      </c>
      <c r="E42" s="39" t="s">
        <v>130</v>
      </c>
    </row>
    <row r="43" customFormat="false" ht="15" hidden="false" customHeight="false" outlineLevel="0" collapsed="false">
      <c r="A43" s="32" t="s">
        <v>131</v>
      </c>
      <c r="B43" s="14" t="n">
        <v>80000</v>
      </c>
      <c r="C43" s="33" t="n">
        <v>0.004</v>
      </c>
      <c r="D43" s="34" t="n">
        <v>0.0701754385964912</v>
      </c>
      <c r="E43" s="35" t="s">
        <v>132</v>
      </c>
    </row>
    <row r="44" customFormat="false" ht="15" hidden="false" customHeight="false" outlineLevel="0" collapsed="false">
      <c r="A44" s="36" t="s">
        <v>133</v>
      </c>
      <c r="B44" s="19" t="n">
        <v>60000</v>
      </c>
      <c r="C44" s="37" t="n">
        <v>0.003</v>
      </c>
      <c r="D44" s="38" t="n">
        <v>0.0526315789473684</v>
      </c>
      <c r="E44" s="39" t="s">
        <v>134</v>
      </c>
    </row>
    <row r="45" customFormat="false" ht="15" hidden="false" customHeight="false" outlineLevel="0" collapsed="false">
      <c r="A45" s="32" t="s">
        <v>135</v>
      </c>
      <c r="B45" s="14" t="n">
        <v>180000</v>
      </c>
      <c r="C45" s="33" t="n">
        <v>0.009</v>
      </c>
      <c r="D45" s="34" t="n">
        <v>0.157894736842105</v>
      </c>
      <c r="E45" s="35" t="s">
        <v>136</v>
      </c>
    </row>
    <row r="46" customFormat="false" ht="15" hidden="false" customHeight="false" outlineLevel="0" collapsed="false">
      <c r="A46" s="40" t="s">
        <v>137</v>
      </c>
      <c r="B46" s="41" t="n">
        <v>1140000</v>
      </c>
      <c r="C46" s="42" t="n">
        <v>0.057</v>
      </c>
      <c r="D46" s="43" t="n">
        <v>1</v>
      </c>
      <c r="E46" s="44"/>
    </row>
    <row r="47" customFormat="false" ht="7.5" hidden="false" customHeight="true" outlineLevel="0" collapsed="false"/>
    <row r="48" customFormat="false" ht="19.5" hidden="false" customHeight="true" outlineLevel="0" collapsed="false">
      <c r="A48" s="31" t="s">
        <v>138</v>
      </c>
      <c r="B48" s="31"/>
      <c r="C48" s="31"/>
      <c r="D48" s="31"/>
      <c r="E48" s="31"/>
    </row>
    <row r="49" customFormat="false" ht="15" hidden="false" customHeight="false" outlineLevel="0" collapsed="false">
      <c r="A49" s="11" t="s">
        <v>69</v>
      </c>
      <c r="B49" s="11" t="s">
        <v>24</v>
      </c>
      <c r="C49" s="11" t="s">
        <v>70</v>
      </c>
      <c r="D49" s="11" t="s">
        <v>71</v>
      </c>
      <c r="E49" s="11" t="s">
        <v>72</v>
      </c>
    </row>
    <row r="50" customFormat="false" ht="15" hidden="false" customHeight="false" outlineLevel="0" collapsed="false">
      <c r="A50" s="32" t="s">
        <v>139</v>
      </c>
      <c r="B50" s="14" t="n">
        <v>200000</v>
      </c>
      <c r="C50" s="33" t="n">
        <v>0.01</v>
      </c>
      <c r="D50" s="34" t="n">
        <v>0.2</v>
      </c>
      <c r="E50" s="35" t="s">
        <v>140</v>
      </c>
    </row>
    <row r="51" customFormat="false" ht="15" hidden="false" customHeight="false" outlineLevel="0" collapsed="false">
      <c r="A51" s="36" t="s">
        <v>141</v>
      </c>
      <c r="B51" s="19" t="n">
        <v>150000</v>
      </c>
      <c r="C51" s="37" t="n">
        <v>0.0075</v>
      </c>
      <c r="D51" s="38" t="n">
        <v>0.15</v>
      </c>
      <c r="E51" s="39" t="s">
        <v>142</v>
      </c>
    </row>
    <row r="52" customFormat="false" ht="15" hidden="false" customHeight="false" outlineLevel="0" collapsed="false">
      <c r="A52" s="32" t="s">
        <v>143</v>
      </c>
      <c r="B52" s="14" t="n">
        <v>300000</v>
      </c>
      <c r="C52" s="33" t="n">
        <v>0.015</v>
      </c>
      <c r="D52" s="34" t="n">
        <v>0.3</v>
      </c>
      <c r="E52" s="35" t="s">
        <v>144</v>
      </c>
    </row>
    <row r="53" customFormat="false" ht="15" hidden="false" customHeight="false" outlineLevel="0" collapsed="false">
      <c r="A53" s="36" t="s">
        <v>145</v>
      </c>
      <c r="B53" s="19" t="n">
        <v>200000</v>
      </c>
      <c r="C53" s="37" t="n">
        <v>0.01</v>
      </c>
      <c r="D53" s="38" t="n">
        <v>0.2</v>
      </c>
      <c r="E53" s="39" t="s">
        <v>146</v>
      </c>
    </row>
    <row r="54" customFormat="false" ht="15" hidden="false" customHeight="false" outlineLevel="0" collapsed="false">
      <c r="A54" s="32" t="s">
        <v>147</v>
      </c>
      <c r="B54" s="14" t="n">
        <v>150000</v>
      </c>
      <c r="C54" s="33" t="n">
        <v>0.0075</v>
      </c>
      <c r="D54" s="34" t="n">
        <v>0.15</v>
      </c>
      <c r="E54" s="35" t="s">
        <v>148</v>
      </c>
    </row>
    <row r="55" customFormat="false" ht="15" hidden="false" customHeight="false" outlineLevel="0" collapsed="false">
      <c r="A55" s="40" t="s">
        <v>149</v>
      </c>
      <c r="B55" s="41" t="n">
        <v>1000000</v>
      </c>
      <c r="C55" s="42" t="n">
        <v>0.05</v>
      </c>
      <c r="D55" s="43" t="n">
        <v>1</v>
      </c>
      <c r="E55" s="44"/>
    </row>
    <row r="56" customFormat="false" ht="7.5" hidden="false" customHeight="true" outlineLevel="0" collapsed="false"/>
    <row r="57" customFormat="false" ht="19.5" hidden="false" customHeight="true" outlineLevel="0" collapsed="false">
      <c r="A57" s="45" t="s">
        <v>150</v>
      </c>
      <c r="B57" s="45"/>
      <c r="C57" s="45"/>
      <c r="D57" s="45"/>
      <c r="E57" s="45"/>
    </row>
    <row r="58" customFormat="false" ht="15" hidden="false" customHeight="false" outlineLevel="0" collapsed="false">
      <c r="A58" s="11" t="s">
        <v>69</v>
      </c>
      <c r="B58" s="11" t="s">
        <v>24</v>
      </c>
      <c r="C58" s="11" t="s">
        <v>70</v>
      </c>
      <c r="D58" s="11" t="s">
        <v>71</v>
      </c>
      <c r="E58" s="11" t="s">
        <v>72</v>
      </c>
    </row>
    <row r="59" customFormat="false" ht="15" hidden="false" customHeight="false" outlineLevel="0" collapsed="false">
      <c r="A59" s="46" t="s">
        <v>151</v>
      </c>
      <c r="B59" s="47" t="n">
        <v>1200000</v>
      </c>
      <c r="C59" s="48" t="n">
        <v>0.06</v>
      </c>
      <c r="D59" s="49" t="n">
        <v>0.666666666666667</v>
      </c>
      <c r="E59" s="50" t="s">
        <v>152</v>
      </c>
    </row>
    <row r="60" customFormat="false" ht="15" hidden="false" customHeight="false" outlineLevel="0" collapsed="false">
      <c r="A60" s="46" t="s">
        <v>153</v>
      </c>
      <c r="B60" s="47" t="n">
        <v>600000</v>
      </c>
      <c r="C60" s="48" t="n">
        <v>0.03</v>
      </c>
      <c r="D60" s="49" t="n">
        <v>0.333333333333333</v>
      </c>
      <c r="E60" s="50" t="s">
        <v>154</v>
      </c>
    </row>
    <row r="61" customFormat="false" ht="15" hidden="false" customHeight="false" outlineLevel="0" collapsed="false">
      <c r="A61" s="51" t="s">
        <v>155</v>
      </c>
      <c r="B61" s="52" t="n">
        <v>1800000</v>
      </c>
      <c r="C61" s="53" t="n">
        <v>0.09</v>
      </c>
      <c r="D61" s="54" t="n">
        <v>1</v>
      </c>
      <c r="E61" s="55"/>
    </row>
    <row r="64" customFormat="false" ht="24" hidden="false" customHeight="true" outlineLevel="0" collapsed="false">
      <c r="A64" s="56" t="s">
        <v>156</v>
      </c>
      <c r="B64" s="56"/>
      <c r="C64" s="56"/>
      <c r="D64" s="56"/>
      <c r="E64" s="56"/>
    </row>
  </sheetData>
  <mergeCells count="8">
    <mergeCell ref="A1:E1"/>
    <mergeCell ref="A3:E3"/>
    <mergeCell ref="A17:E17"/>
    <mergeCell ref="A28:E28"/>
    <mergeCell ref="A39:E39"/>
    <mergeCell ref="A48:E48"/>
    <mergeCell ref="A57:E57"/>
    <mergeCell ref="A64:E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6" min="2" style="0" width="10.51"/>
  </cols>
  <sheetData>
    <row r="1" customFormat="false" ht="25.5" hidden="false" customHeight="true" outlineLevel="0" collapsed="false">
      <c r="A1" s="30" t="s">
        <v>157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7.5" hidden="false" customHeight="true" outlineLevel="0" collapsed="false"/>
    <row r="3" customFormat="false" ht="18" hidden="false" customHeight="true" outlineLevel="0" collapsed="false">
      <c r="A3" s="11" t="s">
        <v>158</v>
      </c>
      <c r="B3" s="11"/>
      <c r="C3" s="46" t="s">
        <v>159</v>
      </c>
      <c r="D3" s="46"/>
      <c r="E3" s="46"/>
      <c r="F3" s="46"/>
      <c r="G3" s="46"/>
      <c r="H3" s="46"/>
      <c r="I3" s="46"/>
      <c r="J3" s="46"/>
      <c r="K3" s="57" t="s">
        <v>160</v>
      </c>
      <c r="L3" s="57"/>
      <c r="M3" s="57"/>
      <c r="N3" s="57"/>
      <c r="O3" s="57"/>
      <c r="P3" s="57"/>
      <c r="Q3" s="57"/>
      <c r="R3" s="57"/>
      <c r="S3" s="58" t="s">
        <v>161</v>
      </c>
      <c r="T3" s="58"/>
      <c r="U3" s="58"/>
      <c r="V3" s="58"/>
      <c r="W3" s="58"/>
      <c r="X3" s="58"/>
      <c r="Y3" s="58"/>
      <c r="Z3" s="58"/>
    </row>
    <row r="4" customFormat="false" ht="7.5" hidden="false" customHeight="true" outlineLevel="0" collapsed="false"/>
    <row r="5" customFormat="false" ht="19.5" hidden="false" customHeight="true" outlineLevel="0" collapsed="false">
      <c r="A5" s="31" t="s">
        <v>162</v>
      </c>
      <c r="B5" s="59" t="s">
        <v>163</v>
      </c>
      <c r="C5" s="59" t="s">
        <v>164</v>
      </c>
      <c r="D5" s="59" t="s">
        <v>165</v>
      </c>
      <c r="E5" s="59" t="s">
        <v>166</v>
      </c>
      <c r="F5" s="59" t="s">
        <v>167</v>
      </c>
      <c r="G5" s="59" t="s">
        <v>168</v>
      </c>
      <c r="H5" s="59" t="s">
        <v>169</v>
      </c>
      <c r="I5" s="59" t="s">
        <v>170</v>
      </c>
      <c r="J5" s="59" t="s">
        <v>171</v>
      </c>
      <c r="K5" s="59" t="s">
        <v>172</v>
      </c>
      <c r="L5" s="59" t="s">
        <v>173</v>
      </c>
      <c r="M5" s="59" t="s">
        <v>174</v>
      </c>
      <c r="N5" s="59" t="s">
        <v>175</v>
      </c>
      <c r="O5" s="59" t="s">
        <v>176</v>
      </c>
      <c r="P5" s="59" t="s">
        <v>177</v>
      </c>
      <c r="Q5" s="59" t="s">
        <v>178</v>
      </c>
      <c r="R5" s="59" t="s">
        <v>179</v>
      </c>
      <c r="S5" s="59" t="s">
        <v>180</v>
      </c>
      <c r="T5" s="59" t="s">
        <v>181</v>
      </c>
      <c r="U5" s="59" t="s">
        <v>182</v>
      </c>
      <c r="V5" s="59" t="s">
        <v>183</v>
      </c>
      <c r="W5" s="59" t="s">
        <v>184</v>
      </c>
      <c r="X5" s="59" t="s">
        <v>185</v>
      </c>
      <c r="Y5" s="59" t="s">
        <v>186</v>
      </c>
    </row>
    <row r="6" customFormat="false" ht="13.5" hidden="false" customHeight="true" outlineLevel="0" collapsed="false">
      <c r="A6" s="31"/>
      <c r="B6" s="60" t="n">
        <v>2026</v>
      </c>
      <c r="C6" s="60" t="n">
        <v>2026</v>
      </c>
      <c r="D6" s="60" t="n">
        <v>2026</v>
      </c>
      <c r="E6" s="60" t="n">
        <v>2026</v>
      </c>
      <c r="F6" s="60" t="n">
        <v>2026</v>
      </c>
      <c r="G6" s="60" t="n">
        <v>2026</v>
      </c>
      <c r="H6" s="60" t="n">
        <v>2026</v>
      </c>
      <c r="I6" s="60" t="n">
        <v>2026</v>
      </c>
      <c r="J6" s="60" t="n">
        <v>2026</v>
      </c>
      <c r="K6" s="60" t="n">
        <v>2026</v>
      </c>
      <c r="L6" s="60" t="n">
        <v>2026</v>
      </c>
      <c r="M6" s="60" t="n">
        <v>2026</v>
      </c>
      <c r="N6" s="60" t="n">
        <v>2027</v>
      </c>
      <c r="O6" s="60" t="n">
        <v>2027</v>
      </c>
      <c r="P6" s="60" t="n">
        <v>2027</v>
      </c>
      <c r="Q6" s="60" t="n">
        <v>2027</v>
      </c>
      <c r="R6" s="60" t="n">
        <v>2027</v>
      </c>
      <c r="S6" s="60" t="n">
        <v>2027</v>
      </c>
      <c r="T6" s="60" t="n">
        <v>2027</v>
      </c>
      <c r="U6" s="60" t="n">
        <v>2027</v>
      </c>
      <c r="V6" s="60" t="n">
        <v>2027</v>
      </c>
      <c r="W6" s="60" t="n">
        <v>2027</v>
      </c>
      <c r="X6" s="60" t="n">
        <v>2027</v>
      </c>
      <c r="Y6" s="60" t="n">
        <v>2027</v>
      </c>
    </row>
    <row r="7" customFormat="false" ht="19.5" hidden="false" customHeight="true" outlineLevel="0" collapsed="false">
      <c r="A7" s="45" t="s">
        <v>187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customFormat="false" ht="15" hidden="false" customHeight="false" outlineLevel="0" collapsed="false">
      <c r="A8" s="32" t="s">
        <v>188</v>
      </c>
      <c r="B8" s="61" t="n">
        <v>0</v>
      </c>
      <c r="C8" s="61" t="n">
        <v>0</v>
      </c>
      <c r="D8" s="61" t="n">
        <v>2</v>
      </c>
      <c r="E8" s="61" t="n">
        <v>3</v>
      </c>
      <c r="F8" s="61" t="n">
        <v>5</v>
      </c>
      <c r="G8" s="61" t="n">
        <v>7</v>
      </c>
      <c r="H8" s="61" t="n">
        <v>9</v>
      </c>
      <c r="I8" s="61" t="n">
        <v>11</v>
      </c>
      <c r="J8" s="61" t="n">
        <v>13</v>
      </c>
      <c r="K8" s="61" t="n">
        <v>15</v>
      </c>
      <c r="L8" s="61" t="n">
        <v>18</v>
      </c>
      <c r="M8" s="61" t="n">
        <v>21</v>
      </c>
      <c r="N8" s="61" t="n">
        <v>25</v>
      </c>
      <c r="O8" s="61" t="n">
        <v>28</v>
      </c>
      <c r="P8" s="61" t="n">
        <v>32</v>
      </c>
      <c r="Q8" s="61" t="n">
        <v>36</v>
      </c>
      <c r="R8" s="61" t="n">
        <v>40</v>
      </c>
      <c r="S8" s="61" t="n">
        <v>44</v>
      </c>
      <c r="T8" s="61" t="n">
        <v>48</v>
      </c>
      <c r="U8" s="61" t="n">
        <v>52</v>
      </c>
      <c r="V8" s="61" t="n">
        <v>56</v>
      </c>
      <c r="W8" s="61" t="n">
        <v>60</v>
      </c>
      <c r="X8" s="61" t="n">
        <v>65</v>
      </c>
      <c r="Y8" s="61" t="n">
        <v>70</v>
      </c>
    </row>
    <row r="9" customFormat="false" ht="15" hidden="false" customHeight="false" outlineLevel="0" collapsed="false">
      <c r="A9" s="36" t="s">
        <v>189</v>
      </c>
      <c r="B9" s="62" t="n">
        <v>0</v>
      </c>
      <c r="C9" s="62" t="n">
        <v>0</v>
      </c>
      <c r="D9" s="63" t="n">
        <v>0.3</v>
      </c>
      <c r="E9" s="63" t="n">
        <v>0.45</v>
      </c>
      <c r="F9" s="63" t="n">
        <v>0.75</v>
      </c>
      <c r="G9" s="63" t="n">
        <v>1.05</v>
      </c>
      <c r="H9" s="63" t="n">
        <v>1.35</v>
      </c>
      <c r="I9" s="63" t="n">
        <v>1.65</v>
      </c>
      <c r="J9" s="63" t="n">
        <v>1.95</v>
      </c>
      <c r="K9" s="63" t="n">
        <v>2.25</v>
      </c>
      <c r="L9" s="63" t="n">
        <v>2.7</v>
      </c>
      <c r="M9" s="63" t="n">
        <v>3.15</v>
      </c>
      <c r="N9" s="63" t="n">
        <v>3.75</v>
      </c>
      <c r="O9" s="63" t="n">
        <v>4.2</v>
      </c>
      <c r="P9" s="63" t="n">
        <v>4.8</v>
      </c>
      <c r="Q9" s="63" t="n">
        <v>5.4</v>
      </c>
      <c r="R9" s="63" t="n">
        <v>6</v>
      </c>
      <c r="S9" s="63" t="n">
        <v>6.6</v>
      </c>
      <c r="T9" s="63" t="n">
        <v>7.2</v>
      </c>
      <c r="U9" s="63" t="n">
        <v>7.8</v>
      </c>
      <c r="V9" s="63" t="n">
        <v>8.4</v>
      </c>
      <c r="W9" s="63" t="n">
        <v>9</v>
      </c>
      <c r="X9" s="63" t="n">
        <v>9.75</v>
      </c>
      <c r="Y9" s="63" t="n">
        <v>10.5</v>
      </c>
    </row>
    <row r="10" customFormat="false" ht="15" hidden="false" customHeight="false" outlineLevel="0" collapsed="false">
      <c r="A10" s="32" t="s">
        <v>190</v>
      </c>
      <c r="B10" s="64" t="n">
        <v>5.5</v>
      </c>
      <c r="C10" s="64" t="n">
        <v>6.5</v>
      </c>
      <c r="D10" s="64" t="n">
        <v>7</v>
      </c>
      <c r="E10" s="64" t="n">
        <v>7.2</v>
      </c>
      <c r="F10" s="64" t="n">
        <v>7.5</v>
      </c>
      <c r="G10" s="64" t="n">
        <v>7.8</v>
      </c>
      <c r="H10" s="64" t="n">
        <v>7.8</v>
      </c>
      <c r="I10" s="64" t="n">
        <v>7.8</v>
      </c>
      <c r="J10" s="64" t="n">
        <v>8</v>
      </c>
      <c r="K10" s="64" t="n">
        <v>8</v>
      </c>
      <c r="L10" s="64" t="n">
        <v>8.5</v>
      </c>
      <c r="M10" s="64" t="n">
        <v>8.5</v>
      </c>
      <c r="N10" s="64" t="n">
        <v>9</v>
      </c>
      <c r="O10" s="64" t="n">
        <v>9</v>
      </c>
      <c r="P10" s="64" t="n">
        <v>9.5</v>
      </c>
      <c r="Q10" s="64" t="n">
        <v>9.5</v>
      </c>
      <c r="R10" s="64" t="n">
        <v>10</v>
      </c>
      <c r="S10" s="64" t="n">
        <v>10</v>
      </c>
      <c r="T10" s="64" t="n">
        <v>10.5</v>
      </c>
      <c r="U10" s="64" t="n">
        <v>10.5</v>
      </c>
      <c r="V10" s="64" t="n">
        <v>11</v>
      </c>
      <c r="W10" s="64" t="n">
        <v>11</v>
      </c>
      <c r="X10" s="64" t="n">
        <v>11.5</v>
      </c>
      <c r="Y10" s="64" t="n">
        <v>12</v>
      </c>
    </row>
    <row r="11" customFormat="false" ht="15" hidden="false" customHeight="false" outlineLevel="0" collapsed="false">
      <c r="A11" s="36" t="s">
        <v>191</v>
      </c>
      <c r="B11" s="65" t="n">
        <v>-5.5</v>
      </c>
      <c r="C11" s="65" t="n">
        <v>-6.5</v>
      </c>
      <c r="D11" s="65" t="n">
        <v>-6.7</v>
      </c>
      <c r="E11" s="65" t="n">
        <v>-6.75</v>
      </c>
      <c r="F11" s="65" t="n">
        <v>-6.75</v>
      </c>
      <c r="G11" s="65" t="n">
        <v>-6.75</v>
      </c>
      <c r="H11" s="65" t="n">
        <v>-6.45</v>
      </c>
      <c r="I11" s="65" t="n">
        <v>-6.15</v>
      </c>
      <c r="J11" s="65" t="n">
        <v>-6.05</v>
      </c>
      <c r="K11" s="65" t="n">
        <v>-5.75</v>
      </c>
      <c r="L11" s="65" t="n">
        <v>-5.8</v>
      </c>
      <c r="M11" s="65" t="n">
        <v>-5.35</v>
      </c>
      <c r="N11" s="65" t="n">
        <v>-5.25</v>
      </c>
      <c r="O11" s="65" t="n">
        <v>-4.8</v>
      </c>
      <c r="P11" s="65" t="n">
        <v>-4.7</v>
      </c>
      <c r="Q11" s="65" t="n">
        <v>-4.1</v>
      </c>
      <c r="R11" s="65" t="n">
        <v>-4</v>
      </c>
      <c r="S11" s="65" t="n">
        <v>-3.4</v>
      </c>
      <c r="T11" s="65" t="n">
        <v>-3.3</v>
      </c>
      <c r="U11" s="65" t="n">
        <v>-2.7</v>
      </c>
      <c r="V11" s="65" t="n">
        <v>-2.6</v>
      </c>
      <c r="W11" s="65" t="n">
        <v>-2</v>
      </c>
      <c r="X11" s="65" t="n">
        <v>-1.75</v>
      </c>
      <c r="Y11" s="65" t="n">
        <v>-1.5</v>
      </c>
    </row>
    <row r="12" customFormat="false" ht="15" hidden="false" customHeight="false" outlineLevel="0" collapsed="false">
      <c r="A12" s="32" t="s">
        <v>192</v>
      </c>
      <c r="B12" s="66" t="n">
        <v>200</v>
      </c>
      <c r="C12" s="66" t="n">
        <v>194.5</v>
      </c>
      <c r="D12" s="66" t="n">
        <v>188</v>
      </c>
      <c r="E12" s="66" t="n">
        <v>181.3</v>
      </c>
      <c r="F12" s="66" t="n">
        <v>174.6</v>
      </c>
      <c r="G12" s="66" t="n">
        <v>167.8</v>
      </c>
      <c r="H12" s="66" t="n">
        <v>161.1</v>
      </c>
      <c r="I12" s="66" t="n">
        <v>154.7</v>
      </c>
      <c r="J12" s="66" t="n">
        <v>148.5</v>
      </c>
      <c r="K12" s="66" t="n">
        <v>142.4</v>
      </c>
      <c r="L12" s="66" t="n">
        <v>136.7</v>
      </c>
      <c r="M12" s="66" t="n">
        <v>130.9</v>
      </c>
      <c r="N12" s="66" t="n">
        <v>125.6</v>
      </c>
      <c r="O12" s="66" t="n">
        <v>120.3</v>
      </c>
      <c r="P12" s="66" t="n">
        <v>115.5</v>
      </c>
      <c r="Q12" s="66" t="n">
        <v>110.8</v>
      </c>
      <c r="R12" s="66" t="n">
        <v>106.7</v>
      </c>
      <c r="S12" s="66" t="n">
        <v>102.7</v>
      </c>
      <c r="T12" s="66" t="n">
        <v>99.3</v>
      </c>
      <c r="U12" s="66" t="n">
        <v>96</v>
      </c>
      <c r="V12" s="66" t="n">
        <v>93.3</v>
      </c>
      <c r="W12" s="66" t="n">
        <v>90.7</v>
      </c>
      <c r="X12" s="66" t="n">
        <v>88.7</v>
      </c>
      <c r="Y12" s="66" t="n">
        <v>87</v>
      </c>
    </row>
    <row r="13" customFormat="false" ht="15" hidden="false" customHeight="false" outlineLevel="0" collapsed="false">
      <c r="A13" s="46" t="s">
        <v>193</v>
      </c>
      <c r="B13" s="67" t="n">
        <v>194.5</v>
      </c>
      <c r="C13" s="67" t="n">
        <v>188</v>
      </c>
      <c r="D13" s="67" t="n">
        <v>181.3</v>
      </c>
      <c r="E13" s="67" t="n">
        <v>174.6</v>
      </c>
      <c r="F13" s="67" t="n">
        <v>167.8</v>
      </c>
      <c r="G13" s="67" t="n">
        <v>161.1</v>
      </c>
      <c r="H13" s="67" t="n">
        <v>154.7</v>
      </c>
      <c r="I13" s="67" t="n">
        <v>148.5</v>
      </c>
      <c r="J13" s="67" t="n">
        <v>142.4</v>
      </c>
      <c r="K13" s="67" t="n">
        <v>136.7</v>
      </c>
      <c r="L13" s="67" t="n">
        <v>130.9</v>
      </c>
      <c r="M13" s="67" t="n">
        <v>125.6</v>
      </c>
      <c r="N13" s="67" t="n">
        <v>120.3</v>
      </c>
      <c r="O13" s="67" t="n">
        <v>115.5</v>
      </c>
      <c r="P13" s="67" t="n">
        <v>110.8</v>
      </c>
      <c r="Q13" s="67" t="n">
        <v>106.7</v>
      </c>
      <c r="R13" s="67" t="n">
        <v>102.7</v>
      </c>
      <c r="S13" s="67" t="n">
        <v>99.3</v>
      </c>
      <c r="T13" s="67" t="n">
        <v>96</v>
      </c>
      <c r="U13" s="67" t="n">
        <v>93.3</v>
      </c>
      <c r="V13" s="67" t="n">
        <v>90.7</v>
      </c>
      <c r="W13" s="67" t="n">
        <v>88.7</v>
      </c>
      <c r="X13" s="67" t="n">
        <v>87</v>
      </c>
      <c r="Y13" s="67" t="n">
        <v>85.5</v>
      </c>
    </row>
    <row r="14" customFormat="false" ht="15" hidden="false" customHeight="false" outlineLevel="0" collapsed="false">
      <c r="A14" s="32" t="s">
        <v>194</v>
      </c>
      <c r="B14" s="68" t="n">
        <v>0</v>
      </c>
      <c r="C14" s="68" t="n">
        <v>0</v>
      </c>
      <c r="D14" s="68" t="n">
        <v>0.3</v>
      </c>
      <c r="E14" s="68" t="n">
        <v>0.8</v>
      </c>
      <c r="F14" s="68" t="n">
        <v>1.5</v>
      </c>
      <c r="G14" s="68" t="n">
        <v>2.5</v>
      </c>
      <c r="H14" s="68" t="n">
        <v>3.9</v>
      </c>
      <c r="I14" s="68" t="n">
        <v>5.5</v>
      </c>
      <c r="J14" s="68" t="n">
        <v>7.5</v>
      </c>
      <c r="K14" s="68" t="n">
        <v>9.8</v>
      </c>
      <c r="L14" s="68" t="n">
        <v>12.4</v>
      </c>
      <c r="M14" s="68" t="n">
        <v>15.6</v>
      </c>
      <c r="N14" s="68" t="n">
        <v>19.4</v>
      </c>
      <c r="O14" s="68" t="n">
        <v>23.6</v>
      </c>
      <c r="P14" s="68" t="n">
        <v>28.4</v>
      </c>
      <c r="Q14" s="68" t="n">
        <v>33.8</v>
      </c>
      <c r="R14" s="68" t="n">
        <v>39.8</v>
      </c>
      <c r="S14" s="68" t="n">
        <v>46.4</v>
      </c>
      <c r="T14" s="68" t="n">
        <v>53.6</v>
      </c>
      <c r="U14" s="68" t="n">
        <v>61.4</v>
      </c>
      <c r="V14" s="68" t="n">
        <v>69.8</v>
      </c>
      <c r="W14" s="68" t="n">
        <v>78.8</v>
      </c>
      <c r="X14" s="68" t="n">
        <v>88.5</v>
      </c>
      <c r="Y14" s="68" t="n">
        <v>99</v>
      </c>
    </row>
    <row r="15" customFormat="false" ht="15" hidden="false" customHeight="false" outlineLevel="0" collapsed="false">
      <c r="A15" s="46" t="s">
        <v>195</v>
      </c>
      <c r="B15" s="69" t="n">
        <v>35.4</v>
      </c>
      <c r="C15" s="69" t="n">
        <v>28.9</v>
      </c>
      <c r="D15" s="69" t="n">
        <v>25.9</v>
      </c>
      <c r="E15" s="69" t="n">
        <v>24.2</v>
      </c>
      <c r="F15" s="69" t="n">
        <v>22.4</v>
      </c>
      <c r="G15" s="69" t="n">
        <v>20.7</v>
      </c>
      <c r="H15" s="69" t="n">
        <v>19.8</v>
      </c>
      <c r="I15" s="69" t="n">
        <v>19</v>
      </c>
      <c r="J15" s="69" t="n">
        <v>17.8</v>
      </c>
      <c r="K15" s="69" t="n">
        <v>17.1</v>
      </c>
      <c r="L15" s="69" t="n">
        <v>15.4</v>
      </c>
      <c r="M15" s="69" t="n">
        <v>14.8</v>
      </c>
      <c r="N15" s="69" t="n">
        <v>13.4</v>
      </c>
      <c r="O15" s="69" t="n">
        <v>12.8</v>
      </c>
      <c r="P15" s="69" t="n">
        <v>11.7</v>
      </c>
      <c r="Q15" s="69" t="n">
        <v>11.2</v>
      </c>
      <c r="R15" s="69" t="n">
        <v>10.3</v>
      </c>
      <c r="S15" s="69" t="n">
        <v>9.9</v>
      </c>
      <c r="T15" s="69" t="n">
        <v>9.1</v>
      </c>
      <c r="U15" s="69" t="n">
        <v>8.9</v>
      </c>
      <c r="V15" s="69" t="n">
        <v>8.2</v>
      </c>
      <c r="W15" s="69" t="n">
        <v>8.1</v>
      </c>
      <c r="X15" s="69" t="n">
        <v>7.6</v>
      </c>
      <c r="Y15" s="69" t="n">
        <v>7.1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70" t="s">
        <v>196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customFormat="false" ht="15" hidden="false" customHeight="false" outlineLevel="0" collapsed="false">
      <c r="A18" s="32" t="s">
        <v>188</v>
      </c>
      <c r="B18" s="61" t="n">
        <v>0</v>
      </c>
      <c r="C18" s="61" t="n">
        <v>2</v>
      </c>
      <c r="D18" s="61" t="n">
        <v>5</v>
      </c>
      <c r="E18" s="61" t="n">
        <v>8</v>
      </c>
      <c r="F18" s="61" t="n">
        <v>12</v>
      </c>
      <c r="G18" s="61" t="n">
        <v>16</v>
      </c>
      <c r="H18" s="61" t="n">
        <v>20</v>
      </c>
      <c r="I18" s="61" t="n">
        <v>25</v>
      </c>
      <c r="J18" s="61" t="n">
        <v>30</v>
      </c>
      <c r="K18" s="61" t="n">
        <v>35</v>
      </c>
      <c r="L18" s="61" t="n">
        <v>40</v>
      </c>
      <c r="M18" s="61" t="n">
        <v>46</v>
      </c>
      <c r="N18" s="61" t="n">
        <v>52</v>
      </c>
      <c r="O18" s="61" t="n">
        <v>58</v>
      </c>
      <c r="P18" s="61" t="n">
        <v>65</v>
      </c>
      <c r="Q18" s="61" t="n">
        <v>72</v>
      </c>
      <c r="R18" s="61" t="n">
        <v>80</v>
      </c>
      <c r="S18" s="61" t="n">
        <v>88</v>
      </c>
      <c r="T18" s="61" t="n">
        <v>96</v>
      </c>
      <c r="U18" s="61" t="n">
        <v>105</v>
      </c>
      <c r="V18" s="61" t="n">
        <v>115</v>
      </c>
      <c r="W18" s="61" t="n">
        <v>125</v>
      </c>
      <c r="X18" s="61" t="n">
        <v>135</v>
      </c>
      <c r="Y18" s="61" t="n">
        <v>145</v>
      </c>
    </row>
    <row r="19" customFormat="false" ht="15" hidden="false" customHeight="false" outlineLevel="0" collapsed="false">
      <c r="A19" s="36" t="s">
        <v>189</v>
      </c>
      <c r="B19" s="62" t="n">
        <v>0</v>
      </c>
      <c r="C19" s="63" t="n">
        <v>0.3</v>
      </c>
      <c r="D19" s="63" t="n">
        <v>0.75</v>
      </c>
      <c r="E19" s="63" t="n">
        <v>1.2</v>
      </c>
      <c r="F19" s="63" t="n">
        <v>1.8</v>
      </c>
      <c r="G19" s="63" t="n">
        <v>2.4</v>
      </c>
      <c r="H19" s="63" t="n">
        <v>3</v>
      </c>
      <c r="I19" s="63" t="n">
        <v>3.75</v>
      </c>
      <c r="J19" s="63" t="n">
        <v>4.5</v>
      </c>
      <c r="K19" s="63" t="n">
        <v>5.25</v>
      </c>
      <c r="L19" s="63" t="n">
        <v>6</v>
      </c>
      <c r="M19" s="63" t="n">
        <v>6.9</v>
      </c>
      <c r="N19" s="63" t="n">
        <v>7.8</v>
      </c>
      <c r="O19" s="63" t="n">
        <v>8.7</v>
      </c>
      <c r="P19" s="63" t="n">
        <v>9.75</v>
      </c>
      <c r="Q19" s="63" t="n">
        <v>10.8</v>
      </c>
      <c r="R19" s="63" t="n">
        <v>12</v>
      </c>
      <c r="S19" s="63" t="n">
        <v>13.2</v>
      </c>
      <c r="T19" s="63" t="n">
        <v>14.4</v>
      </c>
      <c r="U19" s="63" t="n">
        <v>15.75</v>
      </c>
      <c r="V19" s="63" t="n">
        <v>17.25</v>
      </c>
      <c r="W19" s="63" t="n">
        <v>18.75</v>
      </c>
      <c r="X19" s="63" t="n">
        <v>20.25</v>
      </c>
      <c r="Y19" s="63" t="n">
        <v>21.75</v>
      </c>
    </row>
    <row r="20" customFormat="false" ht="15" hidden="false" customHeight="false" outlineLevel="0" collapsed="false">
      <c r="A20" s="32" t="s">
        <v>190</v>
      </c>
      <c r="B20" s="64" t="n">
        <v>5.5</v>
      </c>
      <c r="C20" s="64" t="n">
        <v>6.5</v>
      </c>
      <c r="D20" s="64" t="n">
        <v>7.2</v>
      </c>
      <c r="E20" s="64" t="n">
        <v>7.5</v>
      </c>
      <c r="F20" s="64" t="n">
        <v>7.8</v>
      </c>
      <c r="G20" s="64" t="n">
        <v>8</v>
      </c>
      <c r="H20" s="64" t="n">
        <v>8.2</v>
      </c>
      <c r="I20" s="64" t="n">
        <v>8.5</v>
      </c>
      <c r="J20" s="64" t="n">
        <v>8.8</v>
      </c>
      <c r="K20" s="64" t="n">
        <v>9</v>
      </c>
      <c r="L20" s="64" t="n">
        <v>9.5</v>
      </c>
      <c r="M20" s="64" t="n">
        <v>9.8</v>
      </c>
      <c r="N20" s="64" t="n">
        <v>10.2</v>
      </c>
      <c r="O20" s="64" t="n">
        <v>10.5</v>
      </c>
      <c r="P20" s="64" t="n">
        <v>11</v>
      </c>
      <c r="Q20" s="64" t="n">
        <v>11.5</v>
      </c>
      <c r="R20" s="64" t="n">
        <v>12</v>
      </c>
      <c r="S20" s="64" t="n">
        <v>12.5</v>
      </c>
      <c r="T20" s="64" t="n">
        <v>13</v>
      </c>
      <c r="U20" s="64" t="n">
        <v>13.5</v>
      </c>
      <c r="V20" s="64" t="n">
        <v>14</v>
      </c>
      <c r="W20" s="64" t="n">
        <v>14.5</v>
      </c>
      <c r="X20" s="64" t="n">
        <v>15</v>
      </c>
      <c r="Y20" s="64" t="n">
        <v>15.5</v>
      </c>
    </row>
    <row r="21" customFormat="false" ht="15" hidden="false" customHeight="false" outlineLevel="0" collapsed="false">
      <c r="A21" s="36" t="s">
        <v>191</v>
      </c>
      <c r="B21" s="65" t="n">
        <v>-5.5</v>
      </c>
      <c r="C21" s="65" t="n">
        <v>-6.2</v>
      </c>
      <c r="D21" s="65" t="n">
        <v>-6.45</v>
      </c>
      <c r="E21" s="65" t="n">
        <v>-6.3</v>
      </c>
      <c r="F21" s="65" t="n">
        <v>-6</v>
      </c>
      <c r="G21" s="65" t="n">
        <v>-5.6</v>
      </c>
      <c r="H21" s="65" t="n">
        <v>-5.2</v>
      </c>
      <c r="I21" s="65" t="n">
        <v>-4.75</v>
      </c>
      <c r="J21" s="65" t="n">
        <v>-4.3</v>
      </c>
      <c r="K21" s="65" t="n">
        <v>-3.75</v>
      </c>
      <c r="L21" s="65" t="n">
        <v>-3.5</v>
      </c>
      <c r="M21" s="65" t="n">
        <v>-2.9</v>
      </c>
      <c r="N21" s="65" t="n">
        <v>-2.4</v>
      </c>
      <c r="O21" s="65" t="n">
        <v>-1.8</v>
      </c>
      <c r="P21" s="65" t="n">
        <v>-1.25</v>
      </c>
      <c r="Q21" s="65" t="n">
        <v>-0.699999999999999</v>
      </c>
      <c r="R21" s="71" t="n">
        <v>0</v>
      </c>
      <c r="S21" s="71" t="n">
        <v>0.699999999999999</v>
      </c>
      <c r="T21" s="71" t="n">
        <v>1.4</v>
      </c>
      <c r="U21" s="71" t="n">
        <v>2.25</v>
      </c>
      <c r="V21" s="71" t="n">
        <v>3.25</v>
      </c>
      <c r="W21" s="71" t="n">
        <v>4.25</v>
      </c>
      <c r="X21" s="71" t="n">
        <v>5.25</v>
      </c>
      <c r="Y21" s="71" t="n">
        <v>6.25</v>
      </c>
    </row>
    <row r="22" customFormat="false" ht="15" hidden="false" customHeight="false" outlineLevel="0" collapsed="false">
      <c r="A22" s="32" t="s">
        <v>192</v>
      </c>
      <c r="B22" s="66" t="n">
        <v>200</v>
      </c>
      <c r="C22" s="66" t="n">
        <v>194.5</v>
      </c>
      <c r="D22" s="66" t="n">
        <v>188.3</v>
      </c>
      <c r="E22" s="66" t="n">
        <v>181.9</v>
      </c>
      <c r="F22" s="66" t="n">
        <v>175.6</v>
      </c>
      <c r="G22" s="66" t="n">
        <v>169.6</v>
      </c>
      <c r="H22" s="66" t="n">
        <v>164</v>
      </c>
      <c r="I22" s="66" t="n">
        <v>158.8</v>
      </c>
      <c r="J22" s="66" t="n">
        <v>154.1</v>
      </c>
      <c r="K22" s="66" t="n">
        <v>149.8</v>
      </c>
      <c r="L22" s="66" t="n">
        <v>146.1</v>
      </c>
      <c r="M22" s="66" t="n">
        <v>142.6</v>
      </c>
      <c r="N22" s="66" t="n">
        <v>139.7</v>
      </c>
      <c r="O22" s="66" t="n">
        <v>137.3</v>
      </c>
      <c r="P22" s="66" t="n">
        <v>135.5</v>
      </c>
      <c r="Q22" s="66" t="n">
        <v>134.2</v>
      </c>
      <c r="R22" s="66" t="n">
        <v>133.5</v>
      </c>
      <c r="S22" s="66" t="n">
        <v>133.5</v>
      </c>
      <c r="T22" s="66" t="n">
        <v>134.2</v>
      </c>
      <c r="U22" s="66" t="n">
        <v>135.6</v>
      </c>
      <c r="V22" s="66" t="n">
        <v>137.8</v>
      </c>
      <c r="W22" s="66" t="n">
        <v>141.1</v>
      </c>
      <c r="X22" s="66" t="n">
        <v>145.3</v>
      </c>
      <c r="Y22" s="66" t="n">
        <v>150.6</v>
      </c>
    </row>
    <row r="23" customFormat="false" ht="15" hidden="false" customHeight="false" outlineLevel="0" collapsed="false">
      <c r="A23" s="57" t="s">
        <v>193</v>
      </c>
      <c r="B23" s="72" t="n">
        <v>194.5</v>
      </c>
      <c r="C23" s="72" t="n">
        <v>188.3</v>
      </c>
      <c r="D23" s="72" t="n">
        <v>181.9</v>
      </c>
      <c r="E23" s="72" t="n">
        <v>175.6</v>
      </c>
      <c r="F23" s="72" t="n">
        <v>169.6</v>
      </c>
      <c r="G23" s="72" t="n">
        <v>164</v>
      </c>
      <c r="H23" s="72" t="n">
        <v>158.8</v>
      </c>
      <c r="I23" s="72" t="n">
        <v>154.1</v>
      </c>
      <c r="J23" s="72" t="n">
        <v>149.8</v>
      </c>
      <c r="K23" s="72" t="n">
        <v>146.1</v>
      </c>
      <c r="L23" s="72" t="n">
        <v>142.6</v>
      </c>
      <c r="M23" s="72" t="n">
        <v>139.7</v>
      </c>
      <c r="N23" s="72" t="n">
        <v>137.3</v>
      </c>
      <c r="O23" s="72" t="n">
        <v>135.5</v>
      </c>
      <c r="P23" s="72" t="n">
        <v>134.2</v>
      </c>
      <c r="Q23" s="72" t="n">
        <v>133.5</v>
      </c>
      <c r="R23" s="72" t="n">
        <v>133.5</v>
      </c>
      <c r="S23" s="72" t="n">
        <v>134.2</v>
      </c>
      <c r="T23" s="72" t="n">
        <v>135.6</v>
      </c>
      <c r="U23" s="72" t="n">
        <v>137.8</v>
      </c>
      <c r="V23" s="72" t="n">
        <v>141.1</v>
      </c>
      <c r="W23" s="72" t="n">
        <v>145.3</v>
      </c>
      <c r="X23" s="72" t="n">
        <v>150.6</v>
      </c>
      <c r="Y23" s="72" t="n">
        <v>156.8</v>
      </c>
    </row>
    <row r="24" customFormat="false" ht="15" hidden="false" customHeight="false" outlineLevel="0" collapsed="false">
      <c r="A24" s="32" t="s">
        <v>194</v>
      </c>
      <c r="B24" s="68" t="n">
        <v>0</v>
      </c>
      <c r="C24" s="68" t="n">
        <v>0.3</v>
      </c>
      <c r="D24" s="68" t="n">
        <v>1.1</v>
      </c>
      <c r="E24" s="68" t="n">
        <v>2.2</v>
      </c>
      <c r="F24" s="68" t="n">
        <v>4</v>
      </c>
      <c r="G24" s="68" t="n">
        <v>6.4</v>
      </c>
      <c r="H24" s="68" t="n">
        <v>9.4</v>
      </c>
      <c r="I24" s="68" t="n">
        <v>13.2</v>
      </c>
      <c r="J24" s="68" t="n">
        <v>17.7</v>
      </c>
      <c r="K24" s="68" t="n">
        <v>22.9</v>
      </c>
      <c r="L24" s="68" t="n">
        <v>28.9</v>
      </c>
      <c r="M24" s="68" t="n">
        <v>35.9</v>
      </c>
      <c r="N24" s="68" t="n">
        <v>43.6</v>
      </c>
      <c r="O24" s="68" t="n">
        <v>52.3</v>
      </c>
      <c r="P24" s="68" t="n">
        <v>62.1</v>
      </c>
      <c r="Q24" s="68" t="n">
        <v>72.9</v>
      </c>
      <c r="R24" s="68" t="n">
        <v>84.9</v>
      </c>
      <c r="S24" s="68" t="n">
        <v>98.1</v>
      </c>
      <c r="T24" s="68" t="n">
        <v>112.5</v>
      </c>
      <c r="U24" s="68" t="n">
        <v>128.2</v>
      </c>
      <c r="V24" s="68" t="n">
        <v>145.5</v>
      </c>
      <c r="W24" s="68" t="n">
        <v>164.2</v>
      </c>
      <c r="X24" s="68" t="n">
        <v>184.5</v>
      </c>
      <c r="Y24" s="68" t="n">
        <v>206.2</v>
      </c>
    </row>
    <row r="25" customFormat="false" ht="15" hidden="false" customHeight="false" outlineLevel="0" collapsed="false">
      <c r="A25" s="57" t="s">
        <v>195</v>
      </c>
      <c r="B25" s="69" t="n">
        <v>35.4</v>
      </c>
      <c r="C25" s="69" t="n">
        <v>29</v>
      </c>
      <c r="D25" s="69" t="n">
        <v>25.3</v>
      </c>
      <c r="E25" s="69" t="n">
        <v>23.4</v>
      </c>
      <c r="F25" s="69" t="n">
        <v>21.7</v>
      </c>
      <c r="G25" s="69" t="n">
        <v>20.5</v>
      </c>
      <c r="H25" s="69" t="n">
        <v>19.4</v>
      </c>
      <c r="I25" s="69" t="n">
        <v>18.1</v>
      </c>
      <c r="J25" s="69" t="n">
        <v>17</v>
      </c>
      <c r="K25" s="69" t="n">
        <v>16.2</v>
      </c>
      <c r="L25" s="69" t="n">
        <v>15</v>
      </c>
      <c r="M25" s="69" t="n">
        <v>14.3</v>
      </c>
      <c r="N25" s="69" t="n">
        <v>13.5</v>
      </c>
      <c r="O25" s="69" t="n">
        <v>12.9</v>
      </c>
      <c r="P25" s="69" t="n">
        <v>12.2</v>
      </c>
      <c r="Q25" s="69" t="n">
        <v>11.6</v>
      </c>
      <c r="R25" s="69" t="n">
        <v>11.1</v>
      </c>
      <c r="S25" s="69" t="n">
        <v>10.7</v>
      </c>
      <c r="T25" s="69" t="n">
        <v>10.4</v>
      </c>
      <c r="U25" s="69" t="n">
        <v>10.2</v>
      </c>
      <c r="V25" s="69" t="n">
        <v>10.1</v>
      </c>
      <c r="W25" s="69" t="n">
        <v>10</v>
      </c>
      <c r="X25" s="69" t="n">
        <v>10</v>
      </c>
      <c r="Y25" s="69" t="n">
        <v>10.1</v>
      </c>
    </row>
    <row r="26" customFormat="false" ht="7.5" hidden="false" customHeight="true" outlineLevel="0" collapsed="false"/>
    <row r="27" customFormat="false" ht="19.5" hidden="false" customHeight="true" outlineLevel="0" collapsed="false">
      <c r="A27" s="73" t="s">
        <v>197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customFormat="false" ht="15" hidden="false" customHeight="false" outlineLevel="0" collapsed="false">
      <c r="A28" s="32" t="s">
        <v>188</v>
      </c>
      <c r="B28" s="61" t="n">
        <v>2</v>
      </c>
      <c r="C28" s="61" t="n">
        <v>5</v>
      </c>
      <c r="D28" s="61" t="n">
        <v>10</v>
      </c>
      <c r="E28" s="61" t="n">
        <v>16</v>
      </c>
      <c r="F28" s="61" t="n">
        <v>22</v>
      </c>
      <c r="G28" s="61" t="n">
        <v>28</v>
      </c>
      <c r="H28" s="61" t="n">
        <v>35</v>
      </c>
      <c r="I28" s="61" t="n">
        <v>42</v>
      </c>
      <c r="J28" s="61" t="n">
        <v>50</v>
      </c>
      <c r="K28" s="61" t="n">
        <v>58</v>
      </c>
      <c r="L28" s="61" t="n">
        <v>68</v>
      </c>
      <c r="M28" s="61" t="n">
        <v>80</v>
      </c>
      <c r="N28" s="61" t="n">
        <v>95</v>
      </c>
      <c r="O28" s="61" t="n">
        <v>110</v>
      </c>
      <c r="P28" s="61" t="n">
        <v>125</v>
      </c>
      <c r="Q28" s="61" t="n">
        <v>140</v>
      </c>
      <c r="R28" s="61" t="n">
        <v>158</v>
      </c>
      <c r="S28" s="61" t="n">
        <v>175</v>
      </c>
      <c r="T28" s="61" t="n">
        <v>195</v>
      </c>
      <c r="U28" s="61" t="n">
        <v>215</v>
      </c>
      <c r="V28" s="61" t="n">
        <v>235</v>
      </c>
      <c r="W28" s="61" t="n">
        <v>255</v>
      </c>
      <c r="X28" s="61" t="n">
        <v>275</v>
      </c>
      <c r="Y28" s="61" t="n">
        <v>300</v>
      </c>
    </row>
    <row r="29" customFormat="false" ht="15" hidden="false" customHeight="false" outlineLevel="0" collapsed="false">
      <c r="A29" s="36" t="s">
        <v>189</v>
      </c>
      <c r="B29" s="63" t="n">
        <v>0.3</v>
      </c>
      <c r="C29" s="63" t="n">
        <v>0.75</v>
      </c>
      <c r="D29" s="63" t="n">
        <v>1.5</v>
      </c>
      <c r="E29" s="63" t="n">
        <v>2.4</v>
      </c>
      <c r="F29" s="63" t="n">
        <v>3.3</v>
      </c>
      <c r="G29" s="63" t="n">
        <v>4.2</v>
      </c>
      <c r="H29" s="63" t="n">
        <v>5.25</v>
      </c>
      <c r="I29" s="63" t="n">
        <v>6.3</v>
      </c>
      <c r="J29" s="63" t="n">
        <v>7.5</v>
      </c>
      <c r="K29" s="63" t="n">
        <v>8.7</v>
      </c>
      <c r="L29" s="63" t="n">
        <v>10.2</v>
      </c>
      <c r="M29" s="63" t="n">
        <v>12</v>
      </c>
      <c r="N29" s="63" t="n">
        <v>14.25</v>
      </c>
      <c r="O29" s="63" t="n">
        <v>16.5</v>
      </c>
      <c r="P29" s="63" t="n">
        <v>18.75</v>
      </c>
      <c r="Q29" s="63" t="n">
        <v>21</v>
      </c>
      <c r="R29" s="63" t="n">
        <v>23.7</v>
      </c>
      <c r="S29" s="63" t="n">
        <v>26.25</v>
      </c>
      <c r="T29" s="63" t="n">
        <v>29.25</v>
      </c>
      <c r="U29" s="63" t="n">
        <v>32.25</v>
      </c>
      <c r="V29" s="63" t="n">
        <v>35.25</v>
      </c>
      <c r="W29" s="63" t="n">
        <v>38.25</v>
      </c>
      <c r="X29" s="63" t="n">
        <v>41.25</v>
      </c>
      <c r="Y29" s="63" t="n">
        <v>45</v>
      </c>
    </row>
    <row r="30" customFormat="false" ht="15" hidden="false" customHeight="false" outlineLevel="0" collapsed="false">
      <c r="A30" s="32" t="s">
        <v>190</v>
      </c>
      <c r="B30" s="64" t="n">
        <v>5.5</v>
      </c>
      <c r="C30" s="64" t="n">
        <v>7</v>
      </c>
      <c r="D30" s="64" t="n">
        <v>7.8</v>
      </c>
      <c r="E30" s="64" t="n">
        <v>8.2</v>
      </c>
      <c r="F30" s="64" t="n">
        <v>8.8</v>
      </c>
      <c r="G30" s="64" t="n">
        <v>9.2</v>
      </c>
      <c r="H30" s="64" t="n">
        <v>9.8</v>
      </c>
      <c r="I30" s="64" t="n">
        <v>10.2</v>
      </c>
      <c r="J30" s="64" t="n">
        <v>10.8</v>
      </c>
      <c r="K30" s="64" t="n">
        <v>11.5</v>
      </c>
      <c r="L30" s="64" t="n">
        <v>12</v>
      </c>
      <c r="M30" s="64" t="n">
        <v>13</v>
      </c>
      <c r="N30" s="64" t="n">
        <v>14</v>
      </c>
      <c r="O30" s="64" t="n">
        <v>15</v>
      </c>
      <c r="P30" s="64" t="n">
        <v>16</v>
      </c>
      <c r="Q30" s="64" t="n">
        <v>17</v>
      </c>
      <c r="R30" s="64" t="n">
        <v>18</v>
      </c>
      <c r="S30" s="64" t="n">
        <v>19</v>
      </c>
      <c r="T30" s="64" t="n">
        <v>20</v>
      </c>
      <c r="U30" s="64" t="n">
        <v>21</v>
      </c>
      <c r="V30" s="64" t="n">
        <v>22</v>
      </c>
      <c r="W30" s="64" t="n">
        <v>23</v>
      </c>
      <c r="X30" s="64" t="n">
        <v>24</v>
      </c>
      <c r="Y30" s="64" t="n">
        <v>25</v>
      </c>
    </row>
    <row r="31" customFormat="false" ht="15" hidden="false" customHeight="false" outlineLevel="0" collapsed="false">
      <c r="A31" s="36" t="s">
        <v>191</v>
      </c>
      <c r="B31" s="65" t="n">
        <v>-5.2</v>
      </c>
      <c r="C31" s="65" t="n">
        <v>-6.25</v>
      </c>
      <c r="D31" s="65" t="n">
        <v>-6.3</v>
      </c>
      <c r="E31" s="65" t="n">
        <v>-5.8</v>
      </c>
      <c r="F31" s="65" t="n">
        <v>-5.5</v>
      </c>
      <c r="G31" s="65" t="n">
        <v>-5</v>
      </c>
      <c r="H31" s="65" t="n">
        <v>-4.55</v>
      </c>
      <c r="I31" s="65" t="n">
        <v>-3.9</v>
      </c>
      <c r="J31" s="65" t="n">
        <v>-3.3</v>
      </c>
      <c r="K31" s="65" t="n">
        <v>-2.8</v>
      </c>
      <c r="L31" s="65" t="n">
        <v>-1.8</v>
      </c>
      <c r="M31" s="65" t="n">
        <v>-1</v>
      </c>
      <c r="N31" s="71" t="n">
        <v>0.25</v>
      </c>
      <c r="O31" s="71" t="n">
        <v>1.5</v>
      </c>
      <c r="P31" s="71" t="n">
        <v>2.75</v>
      </c>
      <c r="Q31" s="71" t="n">
        <v>4</v>
      </c>
      <c r="R31" s="71" t="n">
        <v>5.7</v>
      </c>
      <c r="S31" s="71" t="n">
        <v>7.25</v>
      </c>
      <c r="T31" s="71" t="n">
        <v>9.25</v>
      </c>
      <c r="U31" s="71" t="n">
        <v>11.25</v>
      </c>
      <c r="V31" s="71" t="n">
        <v>13.25</v>
      </c>
      <c r="W31" s="71" t="n">
        <v>15.25</v>
      </c>
      <c r="X31" s="71" t="n">
        <v>17.25</v>
      </c>
      <c r="Y31" s="71" t="n">
        <v>20</v>
      </c>
    </row>
    <row r="32" customFormat="false" ht="15" hidden="false" customHeight="false" outlineLevel="0" collapsed="false">
      <c r="A32" s="32" t="s">
        <v>192</v>
      </c>
      <c r="B32" s="66" t="n">
        <v>200</v>
      </c>
      <c r="C32" s="66" t="n">
        <v>194.8</v>
      </c>
      <c r="D32" s="66" t="n">
        <v>188.6</v>
      </c>
      <c r="E32" s="66" t="n">
        <v>182.3</v>
      </c>
      <c r="F32" s="66" t="n">
        <v>176.5</v>
      </c>
      <c r="G32" s="66" t="n">
        <v>171</v>
      </c>
      <c r="H32" s="66" t="n">
        <v>166</v>
      </c>
      <c r="I32" s="66" t="n">
        <v>161.4</v>
      </c>
      <c r="J32" s="66" t="n">
        <v>157.5</v>
      </c>
      <c r="K32" s="66" t="n">
        <v>154.2</v>
      </c>
      <c r="L32" s="66" t="n">
        <v>151.4</v>
      </c>
      <c r="M32" s="66" t="n">
        <v>149.6</v>
      </c>
      <c r="N32" s="66" t="n">
        <v>148.6</v>
      </c>
      <c r="O32" s="66" t="n">
        <v>148.8</v>
      </c>
      <c r="P32" s="66" t="n">
        <v>150.3</v>
      </c>
      <c r="Q32" s="66" t="n">
        <v>153.1</v>
      </c>
      <c r="R32" s="66" t="n">
        <v>157.1</v>
      </c>
      <c r="S32" s="66" t="n">
        <v>162.8</v>
      </c>
      <c r="T32" s="66" t="n">
        <v>170.1</v>
      </c>
      <c r="U32" s="66" t="n">
        <v>179.3</v>
      </c>
      <c r="V32" s="66" t="n">
        <v>190.6</v>
      </c>
      <c r="W32" s="66" t="n">
        <v>203.8</v>
      </c>
      <c r="X32" s="66" t="n">
        <v>219.1</v>
      </c>
      <c r="Y32" s="66" t="n">
        <v>236.3</v>
      </c>
    </row>
    <row r="33" customFormat="false" ht="15" hidden="false" customHeight="false" outlineLevel="0" collapsed="false">
      <c r="A33" s="58" t="s">
        <v>193</v>
      </c>
      <c r="B33" s="74" t="n">
        <v>194.8</v>
      </c>
      <c r="C33" s="74" t="n">
        <v>188.6</v>
      </c>
      <c r="D33" s="74" t="n">
        <v>182.3</v>
      </c>
      <c r="E33" s="74" t="n">
        <v>176.5</v>
      </c>
      <c r="F33" s="74" t="n">
        <v>171</v>
      </c>
      <c r="G33" s="74" t="n">
        <v>166</v>
      </c>
      <c r="H33" s="74" t="n">
        <v>161.4</v>
      </c>
      <c r="I33" s="74" t="n">
        <v>157.5</v>
      </c>
      <c r="J33" s="74" t="n">
        <v>154.2</v>
      </c>
      <c r="K33" s="74" t="n">
        <v>151.4</v>
      </c>
      <c r="L33" s="74" t="n">
        <v>149.6</v>
      </c>
      <c r="M33" s="74" t="n">
        <v>148.6</v>
      </c>
      <c r="N33" s="74" t="n">
        <v>148.8</v>
      </c>
      <c r="O33" s="74" t="n">
        <v>150.3</v>
      </c>
      <c r="P33" s="74" t="n">
        <v>153.1</v>
      </c>
      <c r="Q33" s="74" t="n">
        <v>157.1</v>
      </c>
      <c r="R33" s="74" t="n">
        <v>162.8</v>
      </c>
      <c r="S33" s="74" t="n">
        <v>170.1</v>
      </c>
      <c r="T33" s="74" t="n">
        <v>179.3</v>
      </c>
      <c r="U33" s="74" t="n">
        <v>190.6</v>
      </c>
      <c r="V33" s="74" t="n">
        <v>203.8</v>
      </c>
      <c r="W33" s="74" t="n">
        <v>219.1</v>
      </c>
      <c r="X33" s="74" t="n">
        <v>236.3</v>
      </c>
      <c r="Y33" s="74" t="n">
        <v>256.3</v>
      </c>
    </row>
    <row r="34" customFormat="false" ht="15" hidden="false" customHeight="false" outlineLevel="0" collapsed="false">
      <c r="A34" s="32" t="s">
        <v>194</v>
      </c>
      <c r="B34" s="68" t="n">
        <v>0.3</v>
      </c>
      <c r="C34" s="68" t="n">
        <v>1.1</v>
      </c>
      <c r="D34" s="68" t="n">
        <v>2.5</v>
      </c>
      <c r="E34" s="68" t="n">
        <v>4.9</v>
      </c>
      <c r="F34" s="68" t="n">
        <v>8.2</v>
      </c>
      <c r="G34" s="68" t="n">
        <v>12.4</v>
      </c>
      <c r="H34" s="68" t="n">
        <v>17.7</v>
      </c>
      <c r="I34" s="68" t="n">
        <v>24</v>
      </c>
      <c r="J34" s="68" t="n">
        <v>31.5</v>
      </c>
      <c r="K34" s="68" t="n">
        <v>40.2</v>
      </c>
      <c r="L34" s="68" t="n">
        <v>50.4</v>
      </c>
      <c r="M34" s="68" t="n">
        <v>62.4</v>
      </c>
      <c r="N34" s="68" t="n">
        <v>76.7</v>
      </c>
      <c r="O34" s="68" t="n">
        <v>93.2</v>
      </c>
      <c r="P34" s="68" t="n">
        <v>111.9</v>
      </c>
      <c r="Q34" s="68" t="n">
        <v>132.9</v>
      </c>
      <c r="R34" s="68" t="n">
        <v>156.6</v>
      </c>
      <c r="S34" s="68" t="n">
        <v>182.8</v>
      </c>
      <c r="T34" s="68" t="n">
        <v>212.1</v>
      </c>
      <c r="U34" s="68" t="n">
        <v>244.3</v>
      </c>
      <c r="V34" s="68" t="n">
        <v>279.6</v>
      </c>
      <c r="W34" s="68" t="n">
        <v>317.9</v>
      </c>
      <c r="X34" s="68" t="n">
        <v>359.1</v>
      </c>
      <c r="Y34" s="68" t="n">
        <v>404.1</v>
      </c>
    </row>
    <row r="35" customFormat="false" ht="15" hidden="false" customHeight="false" outlineLevel="0" collapsed="false">
      <c r="A35" s="58" t="s">
        <v>195</v>
      </c>
      <c r="B35" s="69" t="n">
        <v>35.4</v>
      </c>
      <c r="C35" s="69" t="n">
        <v>26.9</v>
      </c>
      <c r="D35" s="69" t="n">
        <v>23.4</v>
      </c>
      <c r="E35" s="69" t="n">
        <v>21.5</v>
      </c>
      <c r="F35" s="69" t="n">
        <v>19.4</v>
      </c>
      <c r="G35" s="69" t="n">
        <v>18</v>
      </c>
      <c r="H35" s="69" t="n">
        <v>16.5</v>
      </c>
      <c r="I35" s="69" t="n">
        <v>15.4</v>
      </c>
      <c r="J35" s="69" t="n">
        <v>14.3</v>
      </c>
      <c r="K35" s="69" t="n">
        <v>13.2</v>
      </c>
      <c r="L35" s="69" t="n">
        <v>12.5</v>
      </c>
      <c r="M35" s="69" t="n">
        <v>11.4</v>
      </c>
      <c r="N35" s="69" t="n">
        <v>10.6</v>
      </c>
      <c r="O35" s="69" t="n">
        <v>10</v>
      </c>
      <c r="P35" s="69" t="n">
        <v>9.6</v>
      </c>
      <c r="Q35" s="69" t="n">
        <v>9.2</v>
      </c>
      <c r="R35" s="69" t="n">
        <v>9</v>
      </c>
      <c r="S35" s="69" t="n">
        <v>9</v>
      </c>
      <c r="T35" s="69" t="n">
        <v>9</v>
      </c>
      <c r="U35" s="69" t="n">
        <v>9.1</v>
      </c>
      <c r="V35" s="69" t="n">
        <v>9.3</v>
      </c>
      <c r="W35" s="69" t="n">
        <v>9.5</v>
      </c>
      <c r="X35" s="69" t="n">
        <v>9.8</v>
      </c>
      <c r="Y35" s="69" t="n">
        <v>10.3</v>
      </c>
    </row>
    <row r="36" customFormat="false" ht="7.5" hidden="false" customHeight="true" outlineLevel="0" collapsed="false"/>
    <row r="37" customFormat="false" ht="19.5" hidden="false" customHeight="true" outlineLevel="0" collapsed="false">
      <c r="A37" s="31" t="s">
        <v>198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customFormat="false" ht="15" hidden="false" customHeight="false" outlineLevel="0" collapsed="false">
      <c r="A38" s="11" t="s">
        <v>199</v>
      </c>
      <c r="B38" s="75" t="s">
        <v>200</v>
      </c>
      <c r="C38" s="75"/>
      <c r="D38" s="75"/>
      <c r="E38" s="75"/>
      <c r="F38" s="75"/>
      <c r="G38" s="75"/>
      <c r="H38" s="75"/>
      <c r="I38" s="75"/>
      <c r="K38" s="76" t="s">
        <v>201</v>
      </c>
      <c r="L38" s="76"/>
      <c r="M38" s="76"/>
      <c r="N38" s="76"/>
      <c r="O38" s="76"/>
      <c r="P38" s="76"/>
      <c r="Q38" s="76"/>
      <c r="R38" s="76"/>
      <c r="S38" s="77" t="s">
        <v>202</v>
      </c>
      <c r="T38" s="77"/>
      <c r="U38" s="77"/>
      <c r="V38" s="77"/>
      <c r="W38" s="77"/>
      <c r="X38" s="77"/>
      <c r="Y38" s="77"/>
      <c r="Z38" s="77"/>
    </row>
    <row r="39" customFormat="false" ht="15" hidden="false" customHeight="false" outlineLevel="0" collapsed="false">
      <c r="A39" s="12" t="s">
        <v>203</v>
      </c>
      <c r="B39" s="78" t="s">
        <v>204</v>
      </c>
      <c r="C39" s="78"/>
      <c r="D39" s="78"/>
      <c r="E39" s="78"/>
      <c r="F39" s="78"/>
      <c r="G39" s="78"/>
      <c r="H39" s="78"/>
      <c r="I39" s="78"/>
      <c r="K39" s="79" t="s">
        <v>205</v>
      </c>
      <c r="L39" s="79"/>
      <c r="M39" s="79"/>
      <c r="N39" s="79"/>
      <c r="O39" s="79"/>
      <c r="P39" s="79"/>
      <c r="Q39" s="79"/>
      <c r="R39" s="79"/>
      <c r="S39" s="69" t="s">
        <v>206</v>
      </c>
      <c r="T39" s="69"/>
      <c r="U39" s="69"/>
      <c r="V39" s="69"/>
      <c r="W39" s="69"/>
      <c r="X39" s="69"/>
      <c r="Y39" s="69"/>
      <c r="Z39" s="69"/>
    </row>
    <row r="40" customFormat="false" ht="15" hidden="false" customHeight="false" outlineLevel="0" collapsed="false">
      <c r="A40" s="17" t="s">
        <v>207</v>
      </c>
      <c r="B40" s="78" t="s">
        <v>208</v>
      </c>
      <c r="C40" s="78"/>
      <c r="D40" s="78"/>
      <c r="E40" s="78"/>
      <c r="F40" s="78"/>
      <c r="G40" s="78"/>
      <c r="H40" s="78"/>
      <c r="I40" s="78"/>
      <c r="K40" s="79" t="s">
        <v>209</v>
      </c>
      <c r="L40" s="79"/>
      <c r="M40" s="79"/>
      <c r="N40" s="79"/>
      <c r="O40" s="79"/>
      <c r="P40" s="79"/>
      <c r="Q40" s="79"/>
      <c r="R40" s="79"/>
      <c r="S40" s="69" t="s">
        <v>210</v>
      </c>
      <c r="T40" s="69"/>
      <c r="U40" s="69"/>
      <c r="V40" s="69"/>
      <c r="W40" s="69"/>
      <c r="X40" s="69"/>
      <c r="Y40" s="69"/>
      <c r="Z40" s="69"/>
    </row>
    <row r="41" customFormat="false" ht="15" hidden="false" customHeight="false" outlineLevel="0" collapsed="false">
      <c r="A41" s="12" t="s">
        <v>211</v>
      </c>
      <c r="B41" s="78" t="s">
        <v>212</v>
      </c>
      <c r="C41" s="78"/>
      <c r="D41" s="78"/>
      <c r="E41" s="78"/>
      <c r="F41" s="78"/>
      <c r="G41" s="78"/>
      <c r="H41" s="78"/>
      <c r="I41" s="78"/>
      <c r="K41" s="79" t="s">
        <v>213</v>
      </c>
      <c r="L41" s="79"/>
      <c r="M41" s="79"/>
      <c r="N41" s="79"/>
      <c r="O41" s="79"/>
      <c r="P41" s="79"/>
      <c r="Q41" s="79"/>
      <c r="R41" s="79"/>
      <c r="S41" s="69" t="s">
        <v>214</v>
      </c>
      <c r="T41" s="69"/>
      <c r="U41" s="69"/>
      <c r="V41" s="69"/>
      <c r="W41" s="69"/>
      <c r="X41" s="69"/>
      <c r="Y41" s="69"/>
      <c r="Z41" s="69"/>
    </row>
    <row r="42" customFormat="false" ht="15" hidden="false" customHeight="false" outlineLevel="0" collapsed="false">
      <c r="A42" s="17" t="s">
        <v>215</v>
      </c>
      <c r="B42" s="78" t="s">
        <v>216</v>
      </c>
      <c r="C42" s="78"/>
      <c r="D42" s="78"/>
      <c r="E42" s="78"/>
      <c r="F42" s="78"/>
      <c r="G42" s="78"/>
      <c r="H42" s="78"/>
      <c r="I42" s="78"/>
      <c r="K42" s="79" t="s">
        <v>217</v>
      </c>
      <c r="L42" s="79"/>
      <c r="M42" s="79"/>
      <c r="N42" s="79"/>
      <c r="O42" s="79"/>
      <c r="P42" s="79"/>
      <c r="Q42" s="79"/>
      <c r="R42" s="79"/>
      <c r="S42" s="69" t="s">
        <v>218</v>
      </c>
      <c r="T42" s="69"/>
      <c r="U42" s="69"/>
      <c r="V42" s="69"/>
      <c r="W42" s="69"/>
      <c r="X42" s="69"/>
      <c r="Y42" s="69"/>
      <c r="Z42" s="69"/>
    </row>
    <row r="43" customFormat="false" ht="15" hidden="false" customHeight="false" outlineLevel="0" collapsed="false">
      <c r="A43" s="12" t="s">
        <v>219</v>
      </c>
      <c r="B43" s="78" t="s">
        <v>184</v>
      </c>
      <c r="C43" s="78"/>
      <c r="D43" s="78"/>
      <c r="E43" s="78"/>
      <c r="F43" s="78"/>
      <c r="G43" s="78"/>
      <c r="H43" s="78"/>
      <c r="I43" s="78"/>
      <c r="K43" s="79" t="s">
        <v>181</v>
      </c>
      <c r="L43" s="79"/>
      <c r="M43" s="79"/>
      <c r="N43" s="79"/>
      <c r="O43" s="79"/>
      <c r="P43" s="79"/>
      <c r="Q43" s="79"/>
      <c r="R43" s="79"/>
      <c r="S43" s="69" t="s">
        <v>178</v>
      </c>
      <c r="T43" s="69"/>
      <c r="U43" s="69"/>
      <c r="V43" s="69"/>
      <c r="W43" s="69"/>
      <c r="X43" s="69"/>
      <c r="Y43" s="69"/>
      <c r="Z43" s="69"/>
    </row>
    <row r="44" customFormat="false" ht="15" hidden="false" customHeight="false" outlineLevel="0" collapsed="false">
      <c r="A44" s="17" t="s">
        <v>220</v>
      </c>
      <c r="B44" s="78" t="s">
        <v>221</v>
      </c>
      <c r="C44" s="78"/>
      <c r="D44" s="78"/>
      <c r="E44" s="78"/>
      <c r="F44" s="78"/>
      <c r="G44" s="78"/>
      <c r="H44" s="78"/>
      <c r="I44" s="78"/>
      <c r="K44" s="79" t="s">
        <v>222</v>
      </c>
      <c r="L44" s="79"/>
      <c r="M44" s="79"/>
      <c r="N44" s="79"/>
      <c r="O44" s="79"/>
      <c r="P44" s="79"/>
      <c r="Q44" s="79"/>
      <c r="R44" s="79"/>
      <c r="S44" s="69" t="s">
        <v>223</v>
      </c>
      <c r="T44" s="69"/>
      <c r="U44" s="69"/>
      <c r="V44" s="69"/>
      <c r="W44" s="69"/>
      <c r="X44" s="69"/>
      <c r="Y44" s="69"/>
      <c r="Z44" s="69"/>
    </row>
  </sheetData>
  <mergeCells count="31">
    <mergeCell ref="A1:Z1"/>
    <mergeCell ref="A3:B3"/>
    <mergeCell ref="C3:J3"/>
    <mergeCell ref="K3:R3"/>
    <mergeCell ref="S3:Z3"/>
    <mergeCell ref="A5:A6"/>
    <mergeCell ref="A7:Z7"/>
    <mergeCell ref="A17:Z17"/>
    <mergeCell ref="A27:Z27"/>
    <mergeCell ref="A37:Z37"/>
    <mergeCell ref="B38:I38"/>
    <mergeCell ref="K38:R38"/>
    <mergeCell ref="S38:Z38"/>
    <mergeCell ref="B39:I39"/>
    <mergeCell ref="K39:R39"/>
    <mergeCell ref="S39:Z39"/>
    <mergeCell ref="B40:I40"/>
    <mergeCell ref="K40:R40"/>
    <mergeCell ref="S40:Z40"/>
    <mergeCell ref="B41:I41"/>
    <mergeCell ref="K41:R41"/>
    <mergeCell ref="S41:Z41"/>
    <mergeCell ref="B42:I42"/>
    <mergeCell ref="K42:R42"/>
    <mergeCell ref="S42:Z42"/>
    <mergeCell ref="B43:I43"/>
    <mergeCell ref="K43:R43"/>
    <mergeCell ref="S43:Z43"/>
    <mergeCell ref="B44:I44"/>
    <mergeCell ref="K44:R44"/>
    <mergeCell ref="S44:Z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6"/>
  </cols>
  <sheetData>
    <row r="1" customFormat="false" ht="25.5" hidden="false" customHeight="true" outlineLevel="0" collapsed="false">
      <c r="A1" s="30" t="s">
        <v>224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7.5" hidden="false" customHeight="true" outlineLevel="0" collapsed="false"/>
    <row r="3" customFormat="false" ht="19.5" hidden="false" customHeight="true" outlineLevel="0" collapsed="false">
      <c r="A3" s="31" t="s">
        <v>225</v>
      </c>
      <c r="B3" s="45" t="s">
        <v>226</v>
      </c>
      <c r="C3" s="70" t="s">
        <v>227</v>
      </c>
      <c r="D3" s="73" t="s">
        <v>228</v>
      </c>
      <c r="E3" s="45" t="s">
        <v>229</v>
      </c>
      <c r="F3" s="70" t="s">
        <v>230</v>
      </c>
      <c r="G3" s="73" t="s">
        <v>231</v>
      </c>
      <c r="H3" s="45" t="s">
        <v>232</v>
      </c>
      <c r="I3" s="70" t="s">
        <v>233</v>
      </c>
      <c r="J3" s="73" t="s">
        <v>234</v>
      </c>
    </row>
    <row r="4" customFormat="false" ht="18" hidden="false" customHeight="true" outlineLevel="0" collapsed="false">
      <c r="A4" s="31"/>
      <c r="B4" s="78" t="s">
        <v>200</v>
      </c>
      <c r="C4" s="79" t="s">
        <v>201</v>
      </c>
      <c r="D4" s="69" t="s">
        <v>202</v>
      </c>
      <c r="E4" s="78" t="s">
        <v>200</v>
      </c>
      <c r="F4" s="79" t="s">
        <v>201</v>
      </c>
      <c r="G4" s="69" t="s">
        <v>202</v>
      </c>
      <c r="H4" s="78" t="s">
        <v>200</v>
      </c>
      <c r="I4" s="79" t="s">
        <v>201</v>
      </c>
      <c r="J4" s="69" t="s">
        <v>202</v>
      </c>
    </row>
    <row r="5" customFormat="false" ht="19.5" hidden="false" customHeight="true" outlineLevel="0" collapsed="false">
      <c r="A5" s="31" t="s">
        <v>235</v>
      </c>
      <c r="B5" s="31"/>
      <c r="C5" s="31"/>
      <c r="D5" s="31"/>
      <c r="E5" s="31"/>
      <c r="F5" s="31"/>
      <c r="G5" s="31"/>
      <c r="H5" s="31"/>
      <c r="I5" s="31"/>
      <c r="J5" s="31"/>
    </row>
    <row r="6" customFormat="false" ht="15" hidden="false" customHeight="false" outlineLevel="0" collapsed="false">
      <c r="A6" s="32" t="s">
        <v>236</v>
      </c>
      <c r="B6" s="80" t="n">
        <v>21</v>
      </c>
      <c r="C6" s="81" t="n">
        <v>52</v>
      </c>
      <c r="D6" s="82" t="n">
        <v>80</v>
      </c>
      <c r="E6" s="80" t="n">
        <v>90</v>
      </c>
      <c r="F6" s="83" t="n">
        <v>180</v>
      </c>
      <c r="G6" s="84" t="n">
        <v>300</v>
      </c>
      <c r="H6" s="85" t="n">
        <v>200</v>
      </c>
      <c r="I6" s="83" t="n">
        <v>400</v>
      </c>
      <c r="J6" s="84" t="n">
        <v>700</v>
      </c>
    </row>
    <row r="7" customFormat="false" ht="15" hidden="false" customHeight="false" outlineLevel="0" collapsed="false">
      <c r="A7" s="36" t="s">
        <v>237</v>
      </c>
      <c r="B7" s="85" t="n">
        <v>12000</v>
      </c>
      <c r="C7" s="83" t="n">
        <v>13000</v>
      </c>
      <c r="D7" s="84" t="n">
        <v>14000</v>
      </c>
      <c r="E7" s="85" t="n">
        <v>16000</v>
      </c>
      <c r="F7" s="83" t="n">
        <v>18000</v>
      </c>
      <c r="G7" s="84" t="n">
        <v>20000</v>
      </c>
      <c r="H7" s="85" t="n">
        <v>22000</v>
      </c>
      <c r="I7" s="83" t="n">
        <v>26000</v>
      </c>
      <c r="J7" s="84" t="n">
        <v>30000</v>
      </c>
    </row>
    <row r="8" customFormat="false" ht="15" hidden="false" customHeight="false" outlineLevel="0" collapsed="false">
      <c r="A8" s="32" t="s">
        <v>238</v>
      </c>
      <c r="B8" s="80" t="n">
        <v>2.52</v>
      </c>
      <c r="C8" s="81" t="n">
        <v>6.76</v>
      </c>
      <c r="D8" s="82" t="n">
        <v>11.2</v>
      </c>
      <c r="E8" s="80" t="n">
        <v>14.4</v>
      </c>
      <c r="F8" s="81" t="n">
        <v>32.4</v>
      </c>
      <c r="G8" s="82" t="n">
        <v>60</v>
      </c>
      <c r="H8" s="80" t="n">
        <v>44</v>
      </c>
      <c r="I8" s="83" t="n">
        <v>104</v>
      </c>
      <c r="J8" s="84" t="n">
        <v>210</v>
      </c>
    </row>
    <row r="9" customFormat="false" ht="15" hidden="false" customHeight="false" outlineLevel="0" collapsed="false">
      <c r="A9" s="36" t="s">
        <v>239</v>
      </c>
      <c r="B9" s="80" t="n">
        <v>30.2</v>
      </c>
      <c r="C9" s="81" t="n">
        <v>81.1</v>
      </c>
      <c r="D9" s="84" t="n">
        <v>134.4</v>
      </c>
      <c r="E9" s="85" t="n">
        <v>172.8</v>
      </c>
      <c r="F9" s="83" t="n">
        <v>388.8</v>
      </c>
      <c r="G9" s="84" t="n">
        <v>720</v>
      </c>
      <c r="H9" s="85" t="n">
        <v>528</v>
      </c>
      <c r="I9" s="83" t="n">
        <v>1248</v>
      </c>
      <c r="J9" s="84" t="n">
        <v>2520</v>
      </c>
    </row>
    <row r="10" customFormat="false" ht="15" hidden="false" customHeight="false" outlineLevel="0" collapsed="false">
      <c r="A10" s="32" t="s">
        <v>240</v>
      </c>
      <c r="B10" s="80" t="n">
        <v>2</v>
      </c>
      <c r="C10" s="81" t="n">
        <v>5</v>
      </c>
      <c r="D10" s="82" t="n">
        <v>8</v>
      </c>
      <c r="E10" s="80" t="n">
        <v>12</v>
      </c>
      <c r="F10" s="81" t="n">
        <v>28</v>
      </c>
      <c r="G10" s="82" t="n">
        <v>52</v>
      </c>
      <c r="H10" s="80" t="n">
        <v>35</v>
      </c>
      <c r="I10" s="81" t="n">
        <v>85</v>
      </c>
      <c r="J10" s="84" t="n">
        <v>160</v>
      </c>
    </row>
    <row r="11" customFormat="false" ht="15" hidden="false" customHeight="false" outlineLevel="0" collapsed="false">
      <c r="A11" s="36" t="s">
        <v>241</v>
      </c>
      <c r="B11" s="80" t="n">
        <v>0</v>
      </c>
      <c r="C11" s="81" t="n">
        <v>0</v>
      </c>
      <c r="D11" s="82" t="n">
        <v>0</v>
      </c>
      <c r="E11" s="80" t="n">
        <v>20</v>
      </c>
      <c r="F11" s="81" t="n">
        <v>50</v>
      </c>
      <c r="G11" s="82" t="n">
        <v>100</v>
      </c>
      <c r="H11" s="80" t="n">
        <v>80</v>
      </c>
      <c r="I11" s="83" t="n">
        <v>200</v>
      </c>
      <c r="J11" s="84" t="n">
        <v>400</v>
      </c>
    </row>
    <row r="12" customFormat="false" ht="15" hidden="false" customHeight="false" outlineLevel="0" collapsed="false">
      <c r="A12" s="12" t="s">
        <v>242</v>
      </c>
      <c r="B12" s="86" t="n">
        <v>32.2</v>
      </c>
      <c r="C12" s="87" t="n">
        <v>86.1</v>
      </c>
      <c r="D12" s="88" t="n">
        <v>142.4</v>
      </c>
      <c r="E12" s="86" t="n">
        <v>204.8</v>
      </c>
      <c r="F12" s="87" t="n">
        <v>466.8</v>
      </c>
      <c r="G12" s="88" t="n">
        <v>872</v>
      </c>
      <c r="H12" s="86" t="n">
        <v>643</v>
      </c>
      <c r="I12" s="87" t="n">
        <v>1533</v>
      </c>
      <c r="J12" s="88" t="n">
        <v>3080</v>
      </c>
    </row>
    <row r="13" customFormat="false" ht="19.5" hidden="false" customHeight="true" outlineLevel="0" collapsed="false">
      <c r="A13" s="31" t="s">
        <v>243</v>
      </c>
      <c r="B13" s="31"/>
      <c r="C13" s="31"/>
      <c r="D13" s="31"/>
      <c r="E13" s="31"/>
      <c r="F13" s="31"/>
      <c r="G13" s="31"/>
      <c r="H13" s="31"/>
      <c r="I13" s="31"/>
      <c r="J13" s="31"/>
    </row>
    <row r="14" customFormat="false" ht="15" hidden="false" customHeight="false" outlineLevel="0" collapsed="false">
      <c r="A14" s="32" t="s">
        <v>244</v>
      </c>
      <c r="B14" s="80" t="n">
        <v>66</v>
      </c>
      <c r="C14" s="81" t="n">
        <v>66</v>
      </c>
      <c r="D14" s="82" t="n">
        <v>66</v>
      </c>
      <c r="E14" s="80" t="n">
        <v>90</v>
      </c>
      <c r="F14" s="81" t="n">
        <v>100</v>
      </c>
      <c r="G14" s="84" t="n">
        <v>120</v>
      </c>
      <c r="H14" s="85" t="n">
        <v>130</v>
      </c>
      <c r="I14" s="83" t="n">
        <v>180</v>
      </c>
      <c r="J14" s="84" t="n">
        <v>240</v>
      </c>
    </row>
    <row r="15" customFormat="false" ht="15" hidden="false" customHeight="false" outlineLevel="0" collapsed="false">
      <c r="A15" s="36" t="s">
        <v>245</v>
      </c>
      <c r="B15" s="80" t="n">
        <v>10</v>
      </c>
      <c r="C15" s="81" t="n">
        <v>14</v>
      </c>
      <c r="D15" s="82" t="n">
        <v>18</v>
      </c>
      <c r="E15" s="80" t="n">
        <v>20</v>
      </c>
      <c r="F15" s="81" t="n">
        <v>35</v>
      </c>
      <c r="G15" s="82" t="n">
        <v>55</v>
      </c>
      <c r="H15" s="80" t="n">
        <v>45</v>
      </c>
      <c r="I15" s="81" t="n">
        <v>90</v>
      </c>
      <c r="J15" s="84" t="n">
        <v>150</v>
      </c>
    </row>
    <row r="16" customFormat="false" ht="15" hidden="false" customHeight="false" outlineLevel="0" collapsed="false">
      <c r="A16" s="32" t="s">
        <v>246</v>
      </c>
      <c r="B16" s="80" t="n">
        <v>24</v>
      </c>
      <c r="C16" s="81" t="n">
        <v>24</v>
      </c>
      <c r="D16" s="82" t="n">
        <v>30</v>
      </c>
      <c r="E16" s="80" t="n">
        <v>40</v>
      </c>
      <c r="F16" s="81" t="n">
        <v>60</v>
      </c>
      <c r="G16" s="82" t="n">
        <v>90</v>
      </c>
      <c r="H16" s="80" t="n">
        <v>70</v>
      </c>
      <c r="I16" s="83" t="n">
        <v>120</v>
      </c>
      <c r="J16" s="84" t="n">
        <v>200</v>
      </c>
    </row>
    <row r="17" customFormat="false" ht="15" hidden="false" customHeight="false" outlineLevel="0" collapsed="false">
      <c r="A17" s="36" t="s">
        <v>247</v>
      </c>
      <c r="B17" s="80" t="n">
        <v>16</v>
      </c>
      <c r="C17" s="81" t="n">
        <v>16</v>
      </c>
      <c r="D17" s="82" t="n">
        <v>16</v>
      </c>
      <c r="E17" s="80" t="n">
        <v>22</v>
      </c>
      <c r="F17" s="81" t="n">
        <v>25</v>
      </c>
      <c r="G17" s="82" t="n">
        <v>28</v>
      </c>
      <c r="H17" s="80" t="n">
        <v>30</v>
      </c>
      <c r="I17" s="81" t="n">
        <v>36</v>
      </c>
      <c r="J17" s="82" t="n">
        <v>45</v>
      </c>
    </row>
    <row r="18" customFormat="false" ht="15" hidden="false" customHeight="false" outlineLevel="0" collapsed="false">
      <c r="A18" s="32" t="s">
        <v>248</v>
      </c>
      <c r="B18" s="80" t="n">
        <v>11.4</v>
      </c>
      <c r="C18" s="81" t="n">
        <v>11.4</v>
      </c>
      <c r="D18" s="82" t="n">
        <v>12</v>
      </c>
      <c r="E18" s="80" t="n">
        <v>18</v>
      </c>
      <c r="F18" s="81" t="n">
        <v>25</v>
      </c>
      <c r="G18" s="82" t="n">
        <v>35</v>
      </c>
      <c r="H18" s="80" t="n">
        <v>30</v>
      </c>
      <c r="I18" s="81" t="n">
        <v>55</v>
      </c>
      <c r="J18" s="82" t="n">
        <v>90</v>
      </c>
    </row>
    <row r="19" customFormat="false" ht="15" hidden="false" customHeight="false" outlineLevel="0" collapsed="false">
      <c r="A19" s="36" t="s">
        <v>249</v>
      </c>
      <c r="B19" s="80" t="n">
        <v>10</v>
      </c>
      <c r="C19" s="81" t="n">
        <v>10</v>
      </c>
      <c r="D19" s="82" t="n">
        <v>10</v>
      </c>
      <c r="E19" s="80" t="n">
        <v>15</v>
      </c>
      <c r="F19" s="81" t="n">
        <v>20</v>
      </c>
      <c r="G19" s="82" t="n">
        <v>30</v>
      </c>
      <c r="H19" s="80" t="n">
        <v>25</v>
      </c>
      <c r="I19" s="81" t="n">
        <v>45</v>
      </c>
      <c r="J19" s="82" t="n">
        <v>80</v>
      </c>
    </row>
    <row r="20" customFormat="false" ht="15" hidden="false" customHeight="false" outlineLevel="0" collapsed="false">
      <c r="A20" s="12" t="s">
        <v>250</v>
      </c>
      <c r="B20" s="86" t="n">
        <v>137.4</v>
      </c>
      <c r="C20" s="87" t="n">
        <v>141.4</v>
      </c>
      <c r="D20" s="88" t="n">
        <v>152</v>
      </c>
      <c r="E20" s="86" t="n">
        <v>205</v>
      </c>
      <c r="F20" s="87" t="n">
        <v>265</v>
      </c>
      <c r="G20" s="88" t="n">
        <v>358</v>
      </c>
      <c r="H20" s="86" t="n">
        <v>330</v>
      </c>
      <c r="I20" s="87" t="n">
        <v>526</v>
      </c>
      <c r="J20" s="88" t="n">
        <v>805</v>
      </c>
    </row>
    <row r="21" customFormat="false" ht="19.5" hidden="false" customHeight="true" outlineLevel="0" collapsed="false">
      <c r="A21" s="31" t="s">
        <v>251</v>
      </c>
      <c r="B21" s="31"/>
      <c r="C21" s="31"/>
      <c r="D21" s="31"/>
      <c r="E21" s="31"/>
      <c r="F21" s="31"/>
      <c r="G21" s="31"/>
      <c r="H21" s="31"/>
      <c r="I21" s="31"/>
      <c r="J21" s="31"/>
    </row>
    <row r="22" customFormat="false" ht="15" hidden="false" customHeight="false" outlineLevel="0" collapsed="false">
      <c r="A22" s="32" t="s">
        <v>252</v>
      </c>
      <c r="B22" s="89" t="s">
        <v>253</v>
      </c>
      <c r="C22" s="90" t="s">
        <v>253</v>
      </c>
      <c r="D22" s="91" t="s">
        <v>253</v>
      </c>
      <c r="E22" s="89" t="s">
        <v>253</v>
      </c>
      <c r="F22" s="90" t="s">
        <v>253</v>
      </c>
      <c r="G22" s="91" t="s">
        <v>253</v>
      </c>
      <c r="H22" s="89" t="s">
        <v>253</v>
      </c>
      <c r="I22" s="90" t="s">
        <v>253</v>
      </c>
      <c r="J22" s="91" t="s">
        <v>253</v>
      </c>
    </row>
    <row r="23" customFormat="false" ht="15" hidden="false" customHeight="false" outlineLevel="0" collapsed="false">
      <c r="A23" s="36" t="s">
        <v>254</v>
      </c>
      <c r="B23" s="48" t="n">
        <v>0.62</v>
      </c>
      <c r="C23" s="92" t="n">
        <v>0.64</v>
      </c>
      <c r="D23" s="93" t="n">
        <v>0.65</v>
      </c>
      <c r="E23" s="48" t="n">
        <v>0.66</v>
      </c>
      <c r="F23" s="92" t="n">
        <v>0.7</v>
      </c>
      <c r="G23" s="93" t="n">
        <v>0.72</v>
      </c>
      <c r="H23" s="48" t="n">
        <v>0.7</v>
      </c>
      <c r="I23" s="92" t="n">
        <v>0.74</v>
      </c>
      <c r="J23" s="93" t="n">
        <v>0.77</v>
      </c>
    </row>
    <row r="24" customFormat="false" ht="15" hidden="false" customHeight="false" outlineLevel="0" collapsed="false">
      <c r="A24" s="12" t="s">
        <v>255</v>
      </c>
      <c r="B24" s="89" t="s">
        <v>256</v>
      </c>
      <c r="C24" s="90" t="s">
        <v>256</v>
      </c>
      <c r="D24" s="91" t="s">
        <v>256</v>
      </c>
      <c r="E24" s="89" t="s">
        <v>256</v>
      </c>
      <c r="F24" s="90" t="s">
        <v>256</v>
      </c>
      <c r="G24" s="91" t="s">
        <v>256</v>
      </c>
      <c r="H24" s="89" t="s">
        <v>256</v>
      </c>
      <c r="I24" s="90" t="s">
        <v>256</v>
      </c>
      <c r="J24" s="91" t="s">
        <v>256</v>
      </c>
    </row>
    <row r="25" customFormat="false" ht="15" hidden="false" customHeight="false" outlineLevel="0" collapsed="false">
      <c r="A25" s="17" t="s">
        <v>257</v>
      </c>
      <c r="B25" s="89" t="s">
        <v>258</v>
      </c>
      <c r="C25" s="90" t="s">
        <v>258</v>
      </c>
      <c r="D25" s="91" t="s">
        <v>258</v>
      </c>
      <c r="E25" s="89" t="s">
        <v>258</v>
      </c>
      <c r="F25" s="90" t="s">
        <v>258</v>
      </c>
      <c r="G25" s="91" t="s">
        <v>258</v>
      </c>
      <c r="H25" s="89" t="s">
        <v>258</v>
      </c>
      <c r="I25" s="90" t="s">
        <v>258</v>
      </c>
      <c r="J25" s="91" t="s">
        <v>258</v>
      </c>
    </row>
    <row r="26" customFormat="false" ht="15" hidden="false" customHeight="false" outlineLevel="0" collapsed="false">
      <c r="A26" s="32" t="s">
        <v>191</v>
      </c>
      <c r="B26" s="89" t="s">
        <v>259</v>
      </c>
      <c r="C26" s="90" t="s">
        <v>259</v>
      </c>
      <c r="D26" s="91" t="s">
        <v>259</v>
      </c>
      <c r="E26" s="89" t="s">
        <v>259</v>
      </c>
      <c r="F26" s="90" t="s">
        <v>259</v>
      </c>
      <c r="G26" s="91" t="s">
        <v>259</v>
      </c>
      <c r="H26" s="89" t="s">
        <v>259</v>
      </c>
      <c r="I26" s="90" t="s">
        <v>259</v>
      </c>
      <c r="J26" s="91" t="s">
        <v>259</v>
      </c>
    </row>
    <row r="27" customFormat="false" ht="19.5" hidden="false" customHeight="true" outlineLevel="0" collapsed="false">
      <c r="A27" s="31" t="s">
        <v>260</v>
      </c>
      <c r="B27" s="31"/>
      <c r="C27" s="31"/>
      <c r="D27" s="31"/>
      <c r="E27" s="31"/>
      <c r="F27" s="31"/>
      <c r="G27" s="31"/>
      <c r="H27" s="31"/>
      <c r="I27" s="31"/>
      <c r="J27" s="31"/>
    </row>
    <row r="28" customFormat="false" ht="15" hidden="false" customHeight="false" outlineLevel="0" collapsed="false">
      <c r="A28" s="32" t="s">
        <v>261</v>
      </c>
      <c r="B28" s="80" t="n">
        <v>11.4</v>
      </c>
      <c r="C28" s="81" t="n">
        <v>11.8</v>
      </c>
      <c r="D28" s="82" t="n">
        <v>12.7</v>
      </c>
      <c r="E28" s="80" t="n">
        <v>17.1</v>
      </c>
      <c r="F28" s="81" t="n">
        <v>22.1</v>
      </c>
      <c r="G28" s="82" t="n">
        <v>29.8</v>
      </c>
      <c r="H28" s="80" t="n">
        <v>27.5</v>
      </c>
      <c r="I28" s="81" t="n">
        <v>43.8</v>
      </c>
      <c r="J28" s="82" t="n">
        <v>67.1</v>
      </c>
    </row>
    <row r="29" customFormat="false" ht="15" hidden="false" customHeight="false" outlineLevel="0" collapsed="false">
      <c r="A29" s="36" t="s">
        <v>262</v>
      </c>
      <c r="B29" s="80" t="n">
        <v>2.68</v>
      </c>
      <c r="C29" s="81" t="n">
        <v>7.18</v>
      </c>
      <c r="D29" s="82" t="n">
        <v>11.87</v>
      </c>
      <c r="E29" s="80" t="n">
        <v>17.07</v>
      </c>
      <c r="F29" s="81" t="n">
        <v>38.9</v>
      </c>
      <c r="G29" s="82" t="n">
        <v>72.7</v>
      </c>
      <c r="H29" s="80" t="n">
        <v>53.6</v>
      </c>
      <c r="I29" s="83" t="n">
        <v>127.8</v>
      </c>
      <c r="J29" s="84" t="n">
        <v>256.7</v>
      </c>
    </row>
    <row r="30" customFormat="false" ht="15" hidden="false" customHeight="false" outlineLevel="0" collapsed="false">
      <c r="A30" s="32" t="s">
        <v>219</v>
      </c>
      <c r="B30" s="94" t="s">
        <v>184</v>
      </c>
      <c r="C30" s="95" t="s">
        <v>182</v>
      </c>
      <c r="D30" s="69" t="s">
        <v>179</v>
      </c>
      <c r="E30" s="94" t="s">
        <v>172</v>
      </c>
      <c r="F30" s="95" t="s">
        <v>169</v>
      </c>
      <c r="G30" s="69" t="s">
        <v>166</v>
      </c>
      <c r="H30" s="94" t="s">
        <v>165</v>
      </c>
      <c r="I30" s="95" t="s">
        <v>164</v>
      </c>
      <c r="J30" s="69" t="s">
        <v>163</v>
      </c>
    </row>
    <row r="31" customFormat="false" ht="15" hidden="false" customHeight="false" outlineLevel="0" collapsed="false">
      <c r="A31" s="36" t="s">
        <v>263</v>
      </c>
      <c r="B31" s="85" t="n">
        <v>138</v>
      </c>
      <c r="C31" s="83" t="n">
        <v>141</v>
      </c>
      <c r="D31" s="84" t="n">
        <v>152</v>
      </c>
      <c r="E31" s="96" t="s">
        <v>264</v>
      </c>
      <c r="F31" s="97" t="s">
        <v>264</v>
      </c>
      <c r="G31" s="98" t="s">
        <v>264</v>
      </c>
      <c r="H31" s="96" t="s">
        <v>264</v>
      </c>
      <c r="I31" s="97" t="s">
        <v>264</v>
      </c>
      <c r="J31" s="98" t="s">
        <v>264</v>
      </c>
    </row>
    <row r="32" customFormat="false" ht="7.5" hidden="false" customHeight="true" outlineLevel="0" collapsed="false"/>
    <row r="33" customFormat="false" ht="15" hidden="false" customHeight="true" outlineLevel="0" collapsed="false">
      <c r="A33" s="29" t="s">
        <v>265</v>
      </c>
      <c r="B33" s="29"/>
      <c r="C33" s="29"/>
      <c r="D33" s="29"/>
      <c r="E33" s="29"/>
      <c r="F33" s="29"/>
      <c r="G33" s="29"/>
      <c r="H33" s="29"/>
      <c r="I33" s="29"/>
      <c r="J33" s="29"/>
    </row>
    <row r="35" customFormat="false" ht="19.5" hidden="false" customHeight="true" outlineLevel="0" collapsed="false">
      <c r="A35" s="99" t="s">
        <v>266</v>
      </c>
      <c r="B35" s="99"/>
      <c r="C35" s="99"/>
      <c r="D35" s="99"/>
      <c r="E35" s="99"/>
      <c r="F35" s="99"/>
      <c r="G35" s="99"/>
      <c r="H35" s="99"/>
      <c r="I35" s="99"/>
      <c r="J35" s="99"/>
    </row>
    <row r="36" customFormat="false" ht="15" hidden="false" customHeight="false" outlineLevel="0" collapsed="false">
      <c r="A36" s="100" t="s">
        <v>199</v>
      </c>
      <c r="B36" s="45" t="s">
        <v>267</v>
      </c>
      <c r="C36" s="70" t="s">
        <v>268</v>
      </c>
      <c r="D36" s="73" t="s">
        <v>269</v>
      </c>
      <c r="E36" s="45" t="s">
        <v>270</v>
      </c>
      <c r="F36" s="70" t="s">
        <v>271</v>
      </c>
      <c r="G36" s="73" t="s">
        <v>272</v>
      </c>
      <c r="H36" s="45" t="s">
        <v>273</v>
      </c>
      <c r="I36" s="70" t="s">
        <v>274</v>
      </c>
      <c r="J36" s="73" t="s">
        <v>275</v>
      </c>
    </row>
    <row r="37" customFormat="false" ht="15" hidden="false" customHeight="false" outlineLevel="0" collapsed="false">
      <c r="A37" s="12" t="s">
        <v>252</v>
      </c>
      <c r="B37" s="101" t="n">
        <v>20</v>
      </c>
      <c r="C37" s="102" t="n">
        <v>55.1</v>
      </c>
      <c r="D37" s="103" t="n">
        <v>92.6</v>
      </c>
      <c r="E37" s="101" t="n">
        <v>135.2</v>
      </c>
      <c r="F37" s="102" t="n">
        <v>326.8</v>
      </c>
      <c r="G37" s="103" t="n">
        <v>627.8</v>
      </c>
      <c r="H37" s="101" t="n">
        <v>450.1</v>
      </c>
      <c r="I37" s="102" t="n">
        <v>1134.4</v>
      </c>
      <c r="J37" s="103" t="n">
        <v>2371.6</v>
      </c>
    </row>
    <row r="38" customFormat="false" ht="15" hidden="false" customHeight="false" outlineLevel="0" collapsed="false">
      <c r="A38" s="17" t="s">
        <v>255</v>
      </c>
      <c r="B38" s="104" t="n">
        <v>-105.2</v>
      </c>
      <c r="C38" s="105" t="n">
        <v>-55.3</v>
      </c>
      <c r="D38" s="106" t="n">
        <v>-9.6</v>
      </c>
      <c r="E38" s="104" t="n">
        <v>-0.2</v>
      </c>
      <c r="F38" s="102" t="n">
        <v>201.8</v>
      </c>
      <c r="G38" s="103" t="n">
        <v>514</v>
      </c>
      <c r="H38" s="101" t="n">
        <v>313</v>
      </c>
      <c r="I38" s="102" t="n">
        <v>1007</v>
      </c>
      <c r="J38" s="103" t="n">
        <v>2275</v>
      </c>
    </row>
  </sheetData>
  <mergeCells count="8">
    <mergeCell ref="A1:J1"/>
    <mergeCell ref="A3:A4"/>
    <mergeCell ref="A5:J5"/>
    <mergeCell ref="A13:J13"/>
    <mergeCell ref="A21:J21"/>
    <mergeCell ref="A27:J27"/>
    <mergeCell ref="A33:J33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40"/>
  </cols>
  <sheetData>
    <row r="1" customFormat="false" ht="25.5" hidden="false" customHeight="true" outlineLevel="0" collapsed="false">
      <c r="A1" s="30" t="s">
        <v>276</v>
      </c>
      <c r="B1" s="30"/>
      <c r="C1" s="30"/>
      <c r="D1" s="30"/>
      <c r="E1" s="30"/>
      <c r="F1" s="30"/>
      <c r="G1" s="30"/>
      <c r="H1" s="30"/>
      <c r="I1" s="30"/>
      <c r="J1" s="30"/>
    </row>
    <row r="3" customFormat="false" ht="15" hidden="false" customHeight="false" outlineLevel="0" collapsed="false">
      <c r="A3" s="22" t="s">
        <v>277</v>
      </c>
      <c r="B3" s="22" t="s">
        <v>278</v>
      </c>
      <c r="C3" s="22" t="s">
        <v>279</v>
      </c>
      <c r="D3" s="22" t="s">
        <v>280</v>
      </c>
      <c r="E3" s="22" t="s">
        <v>281</v>
      </c>
      <c r="F3" s="22" t="s">
        <v>282</v>
      </c>
      <c r="G3" s="22" t="s">
        <v>283</v>
      </c>
      <c r="H3" s="22" t="s">
        <v>284</v>
      </c>
      <c r="I3" s="22" t="s">
        <v>285</v>
      </c>
      <c r="J3" s="22" t="s">
        <v>286</v>
      </c>
    </row>
    <row r="4" customFormat="false" ht="15" hidden="false" customHeight="false" outlineLevel="0" collapsed="false">
      <c r="A4" s="107" t="n">
        <v>1</v>
      </c>
      <c r="B4" s="12" t="s">
        <v>287</v>
      </c>
      <c r="C4" s="107" t="s">
        <v>163</v>
      </c>
      <c r="D4" s="108" t="n">
        <v>50000</v>
      </c>
      <c r="E4" s="14" t="n">
        <v>600000</v>
      </c>
      <c r="F4" s="31" t="s">
        <v>288</v>
      </c>
      <c r="G4" s="78" t="s">
        <v>289</v>
      </c>
      <c r="H4" s="109" t="s">
        <v>290</v>
      </c>
      <c r="I4" s="110" t="s">
        <v>264</v>
      </c>
      <c r="J4" s="35" t="s">
        <v>291</v>
      </c>
    </row>
    <row r="5" customFormat="false" ht="15" hidden="false" customHeight="false" outlineLevel="0" collapsed="false">
      <c r="A5" s="27" t="n">
        <v>2</v>
      </c>
      <c r="B5" s="17" t="s">
        <v>292</v>
      </c>
      <c r="C5" s="27" t="s">
        <v>163</v>
      </c>
      <c r="D5" s="111" t="n">
        <v>55000</v>
      </c>
      <c r="E5" s="19" t="n">
        <v>660000</v>
      </c>
      <c r="F5" s="31" t="s">
        <v>288</v>
      </c>
      <c r="G5" s="78" t="s">
        <v>289</v>
      </c>
      <c r="H5" s="112" t="s">
        <v>293</v>
      </c>
      <c r="I5" s="113" t="s">
        <v>294</v>
      </c>
      <c r="J5" s="39" t="s">
        <v>295</v>
      </c>
    </row>
    <row r="6" customFormat="false" ht="15" hidden="false" customHeight="false" outlineLevel="0" collapsed="false">
      <c r="A6" s="107" t="n">
        <v>3</v>
      </c>
      <c r="B6" s="12" t="s">
        <v>296</v>
      </c>
      <c r="C6" s="107" t="s">
        <v>163</v>
      </c>
      <c r="D6" s="108" t="n">
        <v>50000</v>
      </c>
      <c r="E6" s="14" t="n">
        <v>600000</v>
      </c>
      <c r="F6" s="31" t="s">
        <v>288</v>
      </c>
      <c r="G6" s="78" t="s">
        <v>289</v>
      </c>
      <c r="H6" s="109" t="s">
        <v>293</v>
      </c>
      <c r="I6" s="110" t="s">
        <v>294</v>
      </c>
      <c r="J6" s="35" t="s">
        <v>297</v>
      </c>
    </row>
    <row r="7" customFormat="false" ht="15" hidden="false" customHeight="false" outlineLevel="0" collapsed="false">
      <c r="A7" s="27" t="n">
        <v>4</v>
      </c>
      <c r="B7" s="17" t="s">
        <v>298</v>
      </c>
      <c r="C7" s="27" t="s">
        <v>164</v>
      </c>
      <c r="D7" s="111" t="n">
        <v>50000</v>
      </c>
      <c r="E7" s="19" t="n">
        <v>600000</v>
      </c>
      <c r="F7" s="31" t="s">
        <v>288</v>
      </c>
      <c r="G7" s="78" t="s">
        <v>289</v>
      </c>
      <c r="H7" s="114" t="s">
        <v>299</v>
      </c>
      <c r="I7" s="113" t="s">
        <v>300</v>
      </c>
      <c r="J7" s="39" t="s">
        <v>301</v>
      </c>
    </row>
    <row r="8" customFormat="false" ht="15" hidden="false" customHeight="false" outlineLevel="0" collapsed="false">
      <c r="A8" s="107" t="n">
        <v>5</v>
      </c>
      <c r="B8" s="12" t="s">
        <v>302</v>
      </c>
      <c r="C8" s="107" t="s">
        <v>163</v>
      </c>
      <c r="D8" s="108" t="n">
        <v>65000</v>
      </c>
      <c r="E8" s="14" t="n">
        <v>780000</v>
      </c>
      <c r="F8" s="31" t="s">
        <v>288</v>
      </c>
      <c r="G8" s="78" t="s">
        <v>289</v>
      </c>
      <c r="H8" s="109" t="s">
        <v>293</v>
      </c>
      <c r="I8" s="110" t="s">
        <v>300</v>
      </c>
      <c r="J8" s="35" t="s">
        <v>303</v>
      </c>
    </row>
    <row r="9" customFormat="false" ht="15" hidden="false" customHeight="false" outlineLevel="0" collapsed="false">
      <c r="A9" s="27" t="n">
        <v>6</v>
      </c>
      <c r="B9" s="36" t="s">
        <v>304</v>
      </c>
      <c r="C9" s="27" t="s">
        <v>165</v>
      </c>
      <c r="D9" s="111" t="n">
        <v>80000</v>
      </c>
      <c r="E9" s="19" t="n">
        <v>960000</v>
      </c>
      <c r="F9" s="31" t="s">
        <v>288</v>
      </c>
      <c r="G9" s="79" t="s">
        <v>305</v>
      </c>
      <c r="H9" s="114" t="s">
        <v>306</v>
      </c>
      <c r="I9" s="113" t="s">
        <v>294</v>
      </c>
      <c r="J9" s="39" t="s">
        <v>307</v>
      </c>
    </row>
    <row r="10" customFormat="false" ht="15" hidden="false" customHeight="false" outlineLevel="0" collapsed="false">
      <c r="A10" s="107" t="n">
        <v>7</v>
      </c>
      <c r="B10" s="32" t="s">
        <v>308</v>
      </c>
      <c r="C10" s="107" t="s">
        <v>165</v>
      </c>
      <c r="D10" s="108" t="n">
        <v>55000</v>
      </c>
      <c r="E10" s="14" t="n">
        <v>660000</v>
      </c>
      <c r="F10" s="31" t="s">
        <v>288</v>
      </c>
      <c r="G10" s="79" t="s">
        <v>305</v>
      </c>
      <c r="H10" s="115" t="s">
        <v>306</v>
      </c>
      <c r="I10" s="110" t="s">
        <v>309</v>
      </c>
      <c r="J10" s="35" t="s">
        <v>310</v>
      </c>
    </row>
    <row r="11" customFormat="false" ht="15" hidden="false" customHeight="false" outlineLevel="0" collapsed="false">
      <c r="A11" s="27" t="n">
        <v>8</v>
      </c>
      <c r="B11" s="36" t="s">
        <v>311</v>
      </c>
      <c r="C11" s="27" t="s">
        <v>166</v>
      </c>
      <c r="D11" s="111" t="n">
        <v>45000</v>
      </c>
      <c r="E11" s="19" t="n">
        <v>540000</v>
      </c>
      <c r="F11" s="31" t="s">
        <v>288</v>
      </c>
      <c r="G11" s="79" t="s">
        <v>305</v>
      </c>
      <c r="H11" s="114" t="s">
        <v>312</v>
      </c>
      <c r="I11" s="113" t="s">
        <v>309</v>
      </c>
      <c r="J11" s="39" t="s">
        <v>313</v>
      </c>
    </row>
    <row r="12" customFormat="false" ht="15" hidden="false" customHeight="false" outlineLevel="0" collapsed="false">
      <c r="A12" s="107" t="n">
        <v>9</v>
      </c>
      <c r="B12" s="32" t="s">
        <v>314</v>
      </c>
      <c r="C12" s="107" t="s">
        <v>163</v>
      </c>
      <c r="D12" s="116" t="s">
        <v>264</v>
      </c>
      <c r="E12" s="14" t="n">
        <v>200000</v>
      </c>
      <c r="F12" s="4" t="s">
        <v>315</v>
      </c>
      <c r="G12" s="79" t="s">
        <v>305</v>
      </c>
      <c r="H12" s="115" t="s">
        <v>316</v>
      </c>
      <c r="I12" s="110" t="s">
        <v>317</v>
      </c>
      <c r="J12" s="35" t="s">
        <v>318</v>
      </c>
    </row>
    <row r="13" customFormat="false" ht="15" hidden="false" customHeight="false" outlineLevel="0" collapsed="false">
      <c r="A13" s="27" t="n">
        <v>10</v>
      </c>
      <c r="B13" s="36" t="s">
        <v>319</v>
      </c>
      <c r="C13" s="27" t="s">
        <v>163</v>
      </c>
      <c r="D13" s="117" t="s">
        <v>264</v>
      </c>
      <c r="E13" s="19" t="n">
        <v>300000</v>
      </c>
      <c r="F13" s="118" t="s">
        <v>320</v>
      </c>
      <c r="G13" s="79" t="s">
        <v>305</v>
      </c>
      <c r="H13" s="114" t="s">
        <v>321</v>
      </c>
      <c r="I13" s="113" t="s">
        <v>317</v>
      </c>
      <c r="J13" s="39" t="s">
        <v>322</v>
      </c>
    </row>
    <row r="14" customFormat="false" ht="15" hidden="false" customHeight="false" outlineLevel="0" collapsed="false">
      <c r="A14" s="107" t="n">
        <v>11</v>
      </c>
      <c r="B14" s="32" t="s">
        <v>323</v>
      </c>
      <c r="C14" s="107" t="s">
        <v>163</v>
      </c>
      <c r="D14" s="116" t="s">
        <v>264</v>
      </c>
      <c r="E14" s="14" t="n">
        <v>180000</v>
      </c>
      <c r="F14" s="119" t="s">
        <v>324</v>
      </c>
      <c r="G14" s="79" t="s">
        <v>305</v>
      </c>
      <c r="H14" s="115" t="s">
        <v>321</v>
      </c>
      <c r="I14" s="110" t="s">
        <v>317</v>
      </c>
      <c r="J14" s="35" t="s">
        <v>325</v>
      </c>
    </row>
    <row r="15" customFormat="false" ht="15" hidden="false" customHeight="false" outlineLevel="0" collapsed="false">
      <c r="A15" s="27" t="n">
        <v>12</v>
      </c>
      <c r="B15" s="36" t="s">
        <v>326</v>
      </c>
      <c r="C15" s="27" t="s">
        <v>164</v>
      </c>
      <c r="D15" s="117" t="s">
        <v>264</v>
      </c>
      <c r="E15" s="19" t="n">
        <v>60000</v>
      </c>
      <c r="F15" s="4" t="s">
        <v>315</v>
      </c>
      <c r="G15" s="120" t="s">
        <v>327</v>
      </c>
      <c r="H15" s="114" t="s">
        <v>328</v>
      </c>
      <c r="I15" s="113" t="s">
        <v>317</v>
      </c>
      <c r="J15" s="39" t="s">
        <v>329</v>
      </c>
    </row>
    <row r="16" customFormat="false" ht="15" hidden="false" customHeight="false" outlineLevel="0" collapsed="false">
      <c r="A16" s="107" t="n">
        <v>13</v>
      </c>
      <c r="B16" s="32" t="s">
        <v>330</v>
      </c>
      <c r="C16" s="107" t="s">
        <v>166</v>
      </c>
      <c r="D16" s="116" t="s">
        <v>264</v>
      </c>
      <c r="E16" s="14" t="n">
        <v>120000</v>
      </c>
      <c r="F16" s="4" t="s">
        <v>315</v>
      </c>
      <c r="G16" s="120" t="s">
        <v>327</v>
      </c>
      <c r="H16" s="115" t="s">
        <v>166</v>
      </c>
      <c r="I16" s="110" t="s">
        <v>317</v>
      </c>
      <c r="J16" s="35" t="s">
        <v>331</v>
      </c>
    </row>
    <row r="17" customFormat="false" ht="15" hidden="false" customHeight="false" outlineLevel="0" collapsed="false">
      <c r="A17" s="27" t="n">
        <v>14</v>
      </c>
      <c r="B17" s="36" t="s">
        <v>332</v>
      </c>
      <c r="C17" s="27" t="s">
        <v>170</v>
      </c>
      <c r="D17" s="111" t="n">
        <v>75000</v>
      </c>
      <c r="E17" s="19" t="n">
        <v>900000</v>
      </c>
      <c r="F17" s="31" t="s">
        <v>288</v>
      </c>
      <c r="G17" s="79" t="s">
        <v>305</v>
      </c>
      <c r="H17" s="114" t="s">
        <v>333</v>
      </c>
      <c r="I17" s="113" t="s">
        <v>300</v>
      </c>
      <c r="J17" s="39" t="s">
        <v>334</v>
      </c>
    </row>
    <row r="18" customFormat="false" ht="15" hidden="false" customHeight="false" outlineLevel="0" collapsed="false">
      <c r="A18" s="107" t="n">
        <v>15</v>
      </c>
      <c r="B18" s="32" t="s">
        <v>335</v>
      </c>
      <c r="C18" s="107" t="s">
        <v>172</v>
      </c>
      <c r="D18" s="108" t="n">
        <v>70000</v>
      </c>
      <c r="E18" s="14" t="n">
        <v>840000</v>
      </c>
      <c r="F18" s="31" t="s">
        <v>288</v>
      </c>
      <c r="G18" s="120" t="s">
        <v>327</v>
      </c>
      <c r="H18" s="115" t="s">
        <v>336</v>
      </c>
      <c r="I18" s="110" t="s">
        <v>309</v>
      </c>
      <c r="J18" s="35" t="s">
        <v>337</v>
      </c>
    </row>
    <row r="19" customFormat="false" ht="15" hidden="false" customHeight="false" outlineLevel="0" collapsed="false">
      <c r="A19" s="27" t="n">
        <v>16</v>
      </c>
      <c r="B19" s="36" t="s">
        <v>338</v>
      </c>
      <c r="C19" s="27" t="s">
        <v>174</v>
      </c>
      <c r="D19" s="111" t="n">
        <v>40000</v>
      </c>
      <c r="E19" s="19" t="n">
        <v>480000</v>
      </c>
      <c r="F19" s="31" t="s">
        <v>288</v>
      </c>
      <c r="G19" s="120" t="s">
        <v>327</v>
      </c>
      <c r="H19" s="114" t="s">
        <v>339</v>
      </c>
      <c r="I19" s="113" t="s">
        <v>340</v>
      </c>
      <c r="J19" s="39" t="s">
        <v>341</v>
      </c>
    </row>
    <row r="20" customFormat="false" ht="15" hidden="false" customHeight="false" outlineLevel="0" collapsed="false">
      <c r="A20" s="107" t="n">
        <v>17</v>
      </c>
      <c r="B20" s="32" t="s">
        <v>342</v>
      </c>
      <c r="C20" s="107" t="s">
        <v>176</v>
      </c>
      <c r="D20" s="108" t="n">
        <v>90000</v>
      </c>
      <c r="E20" s="14" t="n">
        <v>1080000</v>
      </c>
      <c r="F20" s="31" t="s">
        <v>288</v>
      </c>
      <c r="G20" s="79" t="s">
        <v>305</v>
      </c>
      <c r="H20" s="115" t="s">
        <v>343</v>
      </c>
      <c r="I20" s="110" t="s">
        <v>344</v>
      </c>
      <c r="J20" s="35" t="s">
        <v>345</v>
      </c>
    </row>
    <row r="21" customFormat="false" ht="15" hidden="false" customHeight="false" outlineLevel="0" collapsed="false">
      <c r="A21" s="27" t="n">
        <v>18</v>
      </c>
      <c r="B21" s="36" t="s">
        <v>346</v>
      </c>
      <c r="C21" s="27" t="s">
        <v>178</v>
      </c>
      <c r="D21" s="111" t="n">
        <v>70000</v>
      </c>
      <c r="E21" s="19" t="n">
        <v>840000</v>
      </c>
      <c r="F21" s="31" t="s">
        <v>288</v>
      </c>
      <c r="G21" s="120" t="s">
        <v>327</v>
      </c>
      <c r="H21" s="114" t="s">
        <v>347</v>
      </c>
      <c r="I21" s="113" t="s">
        <v>309</v>
      </c>
      <c r="J21" s="39" t="s">
        <v>348</v>
      </c>
    </row>
    <row r="22" customFormat="false" ht="15" hidden="false" customHeight="false" outlineLevel="0" collapsed="false">
      <c r="A22" s="107" t="n">
        <v>19</v>
      </c>
      <c r="B22" s="32" t="s">
        <v>349</v>
      </c>
      <c r="C22" s="107" t="s">
        <v>180</v>
      </c>
      <c r="D22" s="108" t="n">
        <v>40000</v>
      </c>
      <c r="E22" s="14" t="n">
        <v>480000</v>
      </c>
      <c r="F22" s="31" t="s">
        <v>288</v>
      </c>
      <c r="G22" s="120" t="s">
        <v>327</v>
      </c>
      <c r="H22" s="115" t="s">
        <v>350</v>
      </c>
      <c r="I22" s="110" t="s">
        <v>340</v>
      </c>
      <c r="J22" s="35" t="s">
        <v>351</v>
      </c>
    </row>
    <row r="23" customFormat="false" ht="15" hidden="false" customHeight="false" outlineLevel="0" collapsed="false">
      <c r="A23" s="27" t="n">
        <v>20</v>
      </c>
      <c r="B23" s="36" t="s">
        <v>352</v>
      </c>
      <c r="C23" s="27" t="s">
        <v>182</v>
      </c>
      <c r="D23" s="111" t="n">
        <v>80000</v>
      </c>
      <c r="E23" s="19" t="n">
        <v>960000</v>
      </c>
      <c r="F23" s="31" t="s">
        <v>288</v>
      </c>
      <c r="G23" s="79" t="s">
        <v>305</v>
      </c>
      <c r="H23" s="114" t="s">
        <v>353</v>
      </c>
      <c r="I23" s="113" t="s">
        <v>300</v>
      </c>
      <c r="J23" s="39" t="s">
        <v>354</v>
      </c>
    </row>
    <row r="25" customFormat="false" ht="19.5" hidden="false" customHeight="true" outlineLevel="0" collapsed="false">
      <c r="A25" s="99" t="s">
        <v>355</v>
      </c>
      <c r="B25" s="99"/>
      <c r="C25" s="99"/>
      <c r="D25" s="99"/>
      <c r="E25" s="99"/>
      <c r="F25" s="99"/>
      <c r="G25" s="99"/>
      <c r="H25" s="99"/>
      <c r="I25" s="99"/>
      <c r="J25" s="99"/>
    </row>
    <row r="26" customFormat="false" ht="15" hidden="false" customHeight="false" outlineLevel="0" collapsed="false">
      <c r="A26" s="12" t="s">
        <v>356</v>
      </c>
      <c r="B26" s="121" t="n">
        <v>7620000</v>
      </c>
      <c r="C26" s="12" t="s">
        <v>357</v>
      </c>
      <c r="D26" s="12"/>
      <c r="E26" s="122" t="n">
        <v>860000</v>
      </c>
    </row>
    <row r="27" customFormat="false" ht="15" hidden="false" customHeight="false" outlineLevel="0" collapsed="false">
      <c r="A27" s="57" t="s">
        <v>358</v>
      </c>
      <c r="B27" s="123" t="n">
        <v>8480000</v>
      </c>
      <c r="C27" s="124" t="s">
        <v>359</v>
      </c>
      <c r="D27" s="124"/>
      <c r="E27" s="125" t="s">
        <v>360</v>
      </c>
    </row>
  </sheetData>
  <mergeCells count="4">
    <mergeCell ref="A1:J1"/>
    <mergeCell ref="A25:J25"/>
    <mergeCell ref="C26:D26"/>
    <mergeCell ref="C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3" min="2" style="0" width="13"/>
  </cols>
  <sheetData>
    <row r="1" customFormat="false" ht="25.5" hidden="false" customHeight="true" outlineLevel="0" collapsed="false">
      <c r="A1" s="30" t="s">
        <v>361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3" customFormat="false" ht="15" hidden="false" customHeight="false" outlineLevel="0" collapsed="false">
      <c r="A3" s="22" t="s">
        <v>362</v>
      </c>
      <c r="B3" s="126" t="s">
        <v>363</v>
      </c>
      <c r="C3" s="126" t="s">
        <v>364</v>
      </c>
      <c r="D3" s="126" t="s">
        <v>365</v>
      </c>
      <c r="E3" s="126" t="s">
        <v>366</v>
      </c>
      <c r="F3" s="126" t="s">
        <v>367</v>
      </c>
      <c r="G3" s="126" t="s">
        <v>368</v>
      </c>
      <c r="H3" s="126" t="s">
        <v>369</v>
      </c>
      <c r="I3" s="126" t="s">
        <v>370</v>
      </c>
      <c r="J3" s="126" t="s">
        <v>371</v>
      </c>
      <c r="K3" s="126" t="s">
        <v>372</v>
      </c>
      <c r="L3" s="126" t="s">
        <v>373</v>
      </c>
      <c r="M3" s="126" t="s">
        <v>374</v>
      </c>
    </row>
    <row r="4" customFormat="false" ht="18" hidden="false" customHeight="true" outlineLevel="0" collapsed="false">
      <c r="A4" s="100" t="s">
        <v>375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</row>
    <row r="5" customFormat="false" ht="18" hidden="false" customHeight="true" outlineLevel="0" collapsed="false">
      <c r="A5" s="128" t="s">
        <v>376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</row>
    <row r="6" customFormat="false" ht="15.75" hidden="false" customHeight="true" outlineLevel="0" collapsed="false">
      <c r="A6" s="130" t="s">
        <v>377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</row>
    <row r="7" customFormat="false" ht="15.75" hidden="false" customHeight="true" outlineLevel="0" collapsed="false">
      <c r="A7" s="130" t="s">
        <v>378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</row>
    <row r="8" customFormat="false" ht="15.75" hidden="false" customHeight="true" outlineLevel="0" collapsed="false">
      <c r="A8" s="130" t="s">
        <v>379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</row>
    <row r="9" customFormat="false" ht="15.75" hidden="false" customHeight="true" outlineLevel="0" collapsed="false">
      <c r="A9" s="130" t="s">
        <v>380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</row>
    <row r="10" customFormat="false" ht="18" hidden="false" customHeight="true" outlineLevel="0" collapsed="false">
      <c r="A10" s="58" t="s">
        <v>381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</row>
    <row r="11" customFormat="false" ht="18" hidden="false" customHeight="true" outlineLevel="0" collapsed="false">
      <c r="A11" s="128" t="s">
        <v>382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</row>
    <row r="12" customFormat="false" ht="15.75" hidden="false" customHeight="true" outlineLevel="0" collapsed="false">
      <c r="A12" s="133" t="s">
        <v>383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</row>
    <row r="13" customFormat="false" ht="15.75" hidden="false" customHeight="true" outlineLevel="0" collapsed="false">
      <c r="A13" s="133" t="s">
        <v>384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</row>
    <row r="14" customFormat="false" ht="15.75" hidden="false" customHeight="true" outlineLevel="0" collapsed="false">
      <c r="A14" s="133" t="s">
        <v>385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</row>
    <row r="15" customFormat="false" ht="15.75" hidden="false" customHeight="true" outlineLevel="0" collapsed="false">
      <c r="A15" s="133" t="s">
        <v>386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</row>
    <row r="16" customFormat="false" ht="15.75" hidden="false" customHeight="true" outlineLevel="0" collapsed="false">
      <c r="A16" s="133" t="s">
        <v>387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</row>
    <row r="17" customFormat="false" ht="15.75" hidden="false" customHeight="true" outlineLevel="0" collapsed="false">
      <c r="A17" s="133" t="s">
        <v>388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</row>
    <row r="18" customFormat="false" ht="15.75" hidden="false" customHeight="true" outlineLevel="0" collapsed="false">
      <c r="A18" s="133" t="s">
        <v>389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</row>
    <row r="19" customFormat="false" ht="15.75" hidden="false" customHeight="true" outlineLevel="0" collapsed="false">
      <c r="A19" s="133" t="s">
        <v>390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</row>
    <row r="20" customFormat="false" ht="15.75" hidden="false" customHeight="true" outlineLevel="0" collapsed="false">
      <c r="A20" s="133" t="s">
        <v>391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customFormat="false" ht="15.75" hidden="false" customHeight="true" outlineLevel="0" collapsed="false">
      <c r="A21" s="133" t="s">
        <v>392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</row>
    <row r="22" customFormat="false" ht="15.75" hidden="false" customHeight="true" outlineLevel="0" collapsed="false">
      <c r="A22" s="133" t="s">
        <v>393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r="23" customFormat="false" ht="15.75" hidden="false" customHeight="true" outlineLevel="0" collapsed="false">
      <c r="A23" s="133" t="s">
        <v>394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r="24" customFormat="false" ht="15.75" hidden="false" customHeight="true" outlineLevel="0" collapsed="false">
      <c r="A24" s="133" t="s">
        <v>395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</row>
    <row r="25" customFormat="false" ht="15.75" hidden="false" customHeight="true" outlineLevel="0" collapsed="false">
      <c r="A25" s="133" t="s">
        <v>396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</row>
    <row r="26" customFormat="false" ht="15.75" hidden="false" customHeight="true" outlineLevel="0" collapsed="false">
      <c r="A26" s="133" t="s">
        <v>397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</row>
    <row r="27" customFormat="false" ht="15.75" hidden="false" customHeight="true" outlineLevel="0" collapsed="false">
      <c r="A27" s="133" t="s">
        <v>398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28" customFormat="false" ht="18" hidden="false" customHeight="true" outlineLevel="0" collapsed="false">
      <c r="A28" s="46" t="s">
        <v>399</v>
      </c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</row>
    <row r="29" customFormat="false" ht="18" hidden="false" customHeight="true" outlineLevel="0" collapsed="false">
      <c r="A29" s="57" t="s">
        <v>400</v>
      </c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</row>
    <row r="30" customFormat="false" ht="18" hidden="false" customHeight="true" outlineLevel="0" collapsed="false">
      <c r="A30" s="100" t="s">
        <v>401</v>
      </c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</row>
    <row r="31" customFormat="false" ht="18" hidden="false" customHeight="true" outlineLevel="0" collapsed="false">
      <c r="A31" s="137" t="s">
        <v>402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</row>
    <row r="32" customFormat="false" ht="18" hidden="false" customHeight="true" outlineLevel="0" collapsed="false">
      <c r="A32" s="139" t="s">
        <v>403</v>
      </c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</row>
    <row r="33" customFormat="false" ht="18" hidden="false" customHeight="true" outlineLevel="0" collapsed="false">
      <c r="A33" s="58" t="s">
        <v>404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</row>
    <row r="35" customFormat="false" ht="30" hidden="false" customHeight="true" outlineLevel="0" collapsed="false">
      <c r="A35" s="29" t="s">
        <v>405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</sheetData>
  <mergeCells count="2">
    <mergeCell ref="A1:M1"/>
    <mergeCell ref="A35:M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  <col collapsed="false" customWidth="true" hidden="false" outlineLevel="0" max="7" min="6" style="0" width="14"/>
    <col collapsed="false" customWidth="true" hidden="false" outlineLevel="0" max="8" min="8" style="0" width="20"/>
  </cols>
  <sheetData>
    <row r="1" customFormat="false" ht="25.5" hidden="false" customHeight="true" outlineLevel="0" collapsed="false">
      <c r="A1" s="30" t="s">
        <v>406</v>
      </c>
      <c r="B1" s="30"/>
      <c r="C1" s="30"/>
      <c r="D1" s="30"/>
      <c r="E1" s="30"/>
      <c r="F1" s="30"/>
      <c r="G1" s="30"/>
      <c r="H1" s="30"/>
    </row>
    <row r="3" customFormat="false" ht="7.5" hidden="false" customHeight="true" outlineLevel="0" collapsed="false"/>
    <row r="4" customFormat="false" ht="19.5" hidden="false" customHeight="true" outlineLevel="0" collapsed="false">
      <c r="A4" s="99" t="s">
        <v>407</v>
      </c>
      <c r="B4" s="99"/>
      <c r="C4" s="99"/>
      <c r="D4" s="99"/>
      <c r="E4" s="99"/>
      <c r="F4" s="99"/>
      <c r="G4" s="99"/>
      <c r="H4" s="99"/>
    </row>
    <row r="5" customFormat="false" ht="15" hidden="false" customHeight="false" outlineLevel="0" collapsed="false">
      <c r="A5" s="11" t="s">
        <v>408</v>
      </c>
      <c r="B5" s="11" t="s">
        <v>409</v>
      </c>
      <c r="C5" s="11" t="s">
        <v>410</v>
      </c>
      <c r="D5" s="11" t="s">
        <v>411</v>
      </c>
      <c r="E5" s="11" t="s">
        <v>284</v>
      </c>
      <c r="F5" s="11" t="s">
        <v>412</v>
      </c>
      <c r="G5" s="11" t="s">
        <v>413</v>
      </c>
      <c r="H5" s="11" t="s">
        <v>414</v>
      </c>
    </row>
    <row r="6" customFormat="false" ht="17.35" hidden="false" customHeight="false" outlineLevel="0" collapsed="false">
      <c r="A6" s="12" t="s">
        <v>415</v>
      </c>
      <c r="B6" s="107" t="s">
        <v>416</v>
      </c>
      <c r="C6" s="141" t="s">
        <v>416</v>
      </c>
      <c r="D6" s="79" t="s">
        <v>417</v>
      </c>
      <c r="E6" s="78" t="s">
        <v>418</v>
      </c>
      <c r="F6" s="142" t="s">
        <v>419</v>
      </c>
      <c r="G6" s="143" t="s">
        <v>420</v>
      </c>
      <c r="H6" s="35" t="s">
        <v>421</v>
      </c>
    </row>
    <row r="7" customFormat="false" ht="17.35" hidden="false" customHeight="false" outlineLevel="0" collapsed="false">
      <c r="A7" s="17" t="s">
        <v>422</v>
      </c>
      <c r="B7" s="27" t="s">
        <v>416</v>
      </c>
      <c r="C7" s="144" t="s">
        <v>416</v>
      </c>
      <c r="D7" s="79" t="s">
        <v>423</v>
      </c>
      <c r="E7" s="78" t="s">
        <v>418</v>
      </c>
      <c r="F7" s="145" t="s">
        <v>419</v>
      </c>
      <c r="G7" s="143" t="s">
        <v>424</v>
      </c>
      <c r="H7" s="39" t="s">
        <v>425</v>
      </c>
    </row>
    <row r="8" customFormat="false" ht="17.35" hidden="false" customHeight="false" outlineLevel="0" collapsed="false">
      <c r="A8" s="12" t="s">
        <v>188</v>
      </c>
      <c r="B8" s="107" t="s">
        <v>426</v>
      </c>
      <c r="C8" s="141" t="s">
        <v>426</v>
      </c>
      <c r="D8" s="79" t="s">
        <v>427</v>
      </c>
      <c r="E8" s="78" t="s">
        <v>418</v>
      </c>
      <c r="F8" s="142" t="s">
        <v>419</v>
      </c>
      <c r="G8" s="143" t="s">
        <v>428</v>
      </c>
      <c r="H8" s="35" t="s">
        <v>429</v>
      </c>
    </row>
    <row r="9" customFormat="false" ht="17.35" hidden="false" customHeight="false" outlineLevel="0" collapsed="false">
      <c r="A9" s="17" t="s">
        <v>430</v>
      </c>
      <c r="B9" s="27" t="s">
        <v>264</v>
      </c>
      <c r="C9" s="144" t="s">
        <v>264</v>
      </c>
      <c r="D9" s="79" t="s">
        <v>431</v>
      </c>
      <c r="E9" s="146" t="s">
        <v>432</v>
      </c>
      <c r="F9" s="145" t="s">
        <v>419</v>
      </c>
      <c r="G9" s="143" t="s">
        <v>433</v>
      </c>
      <c r="H9" s="39" t="s">
        <v>434</v>
      </c>
    </row>
    <row r="10" customFormat="false" ht="17.35" hidden="false" customHeight="false" outlineLevel="0" collapsed="false">
      <c r="A10" s="12" t="s">
        <v>435</v>
      </c>
      <c r="B10" s="107" t="s">
        <v>264</v>
      </c>
      <c r="C10" s="141" t="s">
        <v>436</v>
      </c>
      <c r="D10" s="79" t="s">
        <v>437</v>
      </c>
      <c r="E10" s="69" t="s">
        <v>438</v>
      </c>
      <c r="F10" s="142" t="s">
        <v>439</v>
      </c>
      <c r="G10" s="143" t="s">
        <v>440</v>
      </c>
      <c r="H10" s="35" t="s">
        <v>441</v>
      </c>
    </row>
    <row r="11" customFormat="false" ht="17.35" hidden="false" customHeight="false" outlineLevel="0" collapsed="false">
      <c r="A11" s="17" t="s">
        <v>442</v>
      </c>
      <c r="B11" s="27" t="s">
        <v>264</v>
      </c>
      <c r="C11" s="144" t="s">
        <v>443</v>
      </c>
      <c r="D11" s="79" t="s">
        <v>444</v>
      </c>
      <c r="E11" s="69" t="s">
        <v>445</v>
      </c>
      <c r="F11" s="145" t="s">
        <v>446</v>
      </c>
      <c r="G11" s="143" t="s">
        <v>447</v>
      </c>
      <c r="H11" s="39" t="s">
        <v>448</v>
      </c>
    </row>
    <row r="12" customFormat="false" ht="17.35" hidden="false" customHeight="false" outlineLevel="0" collapsed="false">
      <c r="A12" s="12" t="s">
        <v>449</v>
      </c>
      <c r="B12" s="107" t="s">
        <v>264</v>
      </c>
      <c r="C12" s="141" t="s">
        <v>264</v>
      </c>
      <c r="D12" s="79" t="s">
        <v>450</v>
      </c>
      <c r="E12" s="146" t="s">
        <v>432</v>
      </c>
      <c r="F12" s="142" t="s">
        <v>419</v>
      </c>
      <c r="G12" s="143" t="s">
        <v>451</v>
      </c>
      <c r="H12" s="35" t="s">
        <v>452</v>
      </c>
    </row>
    <row r="13" customFormat="false" ht="17.35" hidden="false" customHeight="false" outlineLevel="0" collapsed="false">
      <c r="A13" s="17" t="s">
        <v>453</v>
      </c>
      <c r="B13" s="27" t="s">
        <v>264</v>
      </c>
      <c r="C13" s="144" t="s">
        <v>264</v>
      </c>
      <c r="D13" s="79" t="s">
        <v>454</v>
      </c>
      <c r="E13" s="146" t="s">
        <v>432</v>
      </c>
      <c r="F13" s="145" t="s">
        <v>419</v>
      </c>
      <c r="G13" s="143" t="s">
        <v>455</v>
      </c>
      <c r="H13" s="39" t="s">
        <v>456</v>
      </c>
    </row>
    <row r="14" customFormat="false" ht="17.35" hidden="false" customHeight="false" outlineLevel="0" collapsed="false">
      <c r="A14" s="12" t="s">
        <v>457</v>
      </c>
      <c r="B14" s="107" t="s">
        <v>264</v>
      </c>
      <c r="C14" s="141" t="s">
        <v>264</v>
      </c>
      <c r="D14" s="79" t="s">
        <v>458</v>
      </c>
      <c r="E14" s="146" t="s">
        <v>432</v>
      </c>
      <c r="F14" s="142" t="s">
        <v>419</v>
      </c>
      <c r="G14" s="143" t="s">
        <v>459</v>
      </c>
      <c r="H14" s="35" t="s">
        <v>460</v>
      </c>
    </row>
    <row r="15" customFormat="false" ht="17.35" hidden="false" customHeight="false" outlineLevel="0" collapsed="false">
      <c r="A15" s="17" t="s">
        <v>461</v>
      </c>
      <c r="B15" s="27" t="s">
        <v>264</v>
      </c>
      <c r="C15" s="144" t="s">
        <v>264</v>
      </c>
      <c r="D15" s="79" t="s">
        <v>462</v>
      </c>
      <c r="E15" s="146" t="s">
        <v>432</v>
      </c>
      <c r="F15" s="145" t="s">
        <v>419</v>
      </c>
      <c r="G15" s="143" t="s">
        <v>463</v>
      </c>
      <c r="H15" s="39" t="s">
        <v>464</v>
      </c>
    </row>
    <row r="16" customFormat="false" ht="17.35" hidden="false" customHeight="false" outlineLevel="0" collapsed="false">
      <c r="A16" s="12" t="s">
        <v>465</v>
      </c>
      <c r="B16" s="107" t="s">
        <v>264</v>
      </c>
      <c r="C16" s="141" t="s">
        <v>264</v>
      </c>
      <c r="D16" s="79" t="s">
        <v>466</v>
      </c>
      <c r="E16" s="146" t="s">
        <v>432</v>
      </c>
      <c r="F16" s="142" t="s">
        <v>419</v>
      </c>
      <c r="G16" s="143" t="s">
        <v>467</v>
      </c>
      <c r="H16" s="35" t="s">
        <v>468</v>
      </c>
    </row>
    <row r="17" customFormat="false" ht="17.35" hidden="false" customHeight="false" outlineLevel="0" collapsed="false">
      <c r="A17" s="17" t="s">
        <v>469</v>
      </c>
      <c r="B17" s="27" t="s">
        <v>264</v>
      </c>
      <c r="C17" s="144" t="s">
        <v>264</v>
      </c>
      <c r="D17" s="79" t="s">
        <v>470</v>
      </c>
      <c r="E17" s="146" t="s">
        <v>432</v>
      </c>
      <c r="F17" s="145" t="s">
        <v>419</v>
      </c>
      <c r="G17" s="143" t="s">
        <v>471</v>
      </c>
      <c r="H17" s="39" t="s">
        <v>472</v>
      </c>
    </row>
    <row r="18" customFormat="false" ht="17.35" hidden="false" customHeight="false" outlineLevel="0" collapsed="false">
      <c r="A18" s="12" t="s">
        <v>473</v>
      </c>
      <c r="B18" s="107" t="s">
        <v>264</v>
      </c>
      <c r="C18" s="141" t="s">
        <v>264</v>
      </c>
      <c r="D18" s="79" t="s">
        <v>474</v>
      </c>
      <c r="E18" s="146" t="s">
        <v>432</v>
      </c>
      <c r="F18" s="142" t="s">
        <v>419</v>
      </c>
      <c r="G18" s="143" t="s">
        <v>475</v>
      </c>
      <c r="H18" s="35" t="s">
        <v>476</v>
      </c>
    </row>
    <row r="19" customFormat="false" ht="17.35" hidden="false" customHeight="false" outlineLevel="0" collapsed="false">
      <c r="A19" s="17" t="s">
        <v>477</v>
      </c>
      <c r="B19" s="27" t="s">
        <v>264</v>
      </c>
      <c r="C19" s="144" t="s">
        <v>264</v>
      </c>
      <c r="D19" s="79" t="s">
        <v>478</v>
      </c>
      <c r="E19" s="146" t="s">
        <v>432</v>
      </c>
      <c r="F19" s="145" t="s">
        <v>419</v>
      </c>
      <c r="G19" s="143" t="s">
        <v>479</v>
      </c>
      <c r="H19" s="39" t="s">
        <v>480</v>
      </c>
    </row>
    <row r="20" customFormat="false" ht="17.35" hidden="false" customHeight="false" outlineLevel="0" collapsed="false">
      <c r="A20" s="12" t="s">
        <v>481</v>
      </c>
      <c r="B20" s="107" t="s">
        <v>264</v>
      </c>
      <c r="C20" s="141" t="s">
        <v>426</v>
      </c>
      <c r="D20" s="79" t="s">
        <v>482</v>
      </c>
      <c r="E20" s="146" t="s">
        <v>432</v>
      </c>
      <c r="F20" s="142" t="s">
        <v>419</v>
      </c>
      <c r="G20" s="143" t="s">
        <v>483</v>
      </c>
      <c r="H20" s="35" t="s">
        <v>484</v>
      </c>
    </row>
  </sheetData>
  <mergeCells count="2">
    <mergeCell ref="A1:H1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6" min="4" style="0" width="12"/>
    <col collapsed="false" customWidth="true" hidden="false" outlineLevel="0" max="7" min="7" style="0" width="44"/>
  </cols>
  <sheetData>
    <row r="1" customFormat="false" ht="25.5" hidden="false" customHeight="true" outlineLevel="0" collapsed="false">
      <c r="A1" s="30" t="s">
        <v>485</v>
      </c>
      <c r="B1" s="30"/>
      <c r="C1" s="30"/>
      <c r="D1" s="30"/>
      <c r="E1" s="30"/>
      <c r="F1" s="30"/>
      <c r="G1" s="30"/>
    </row>
    <row r="3" customFormat="false" ht="15" hidden="false" customHeight="false" outlineLevel="0" collapsed="false">
      <c r="A3" s="22" t="s">
        <v>277</v>
      </c>
      <c r="B3" s="22" t="s">
        <v>486</v>
      </c>
      <c r="C3" s="22" t="s">
        <v>22</v>
      </c>
      <c r="D3" s="22" t="s">
        <v>487</v>
      </c>
      <c r="E3" s="22" t="s">
        <v>488</v>
      </c>
      <c r="F3" s="22" t="s">
        <v>489</v>
      </c>
      <c r="G3" s="22" t="s">
        <v>490</v>
      </c>
    </row>
    <row r="4" customFormat="false" ht="36" hidden="false" customHeight="true" outlineLevel="0" collapsed="false">
      <c r="A4" s="107" t="n">
        <v>1</v>
      </c>
      <c r="B4" s="147" t="s">
        <v>491</v>
      </c>
      <c r="C4" s="107" t="s">
        <v>492</v>
      </c>
      <c r="D4" s="78" t="s">
        <v>493</v>
      </c>
      <c r="E4" s="78" t="s">
        <v>494</v>
      </c>
      <c r="F4" s="79" t="s">
        <v>495</v>
      </c>
      <c r="G4" s="148" t="s">
        <v>496</v>
      </c>
    </row>
    <row r="5" customFormat="false" ht="36" hidden="false" customHeight="true" outlineLevel="0" collapsed="false">
      <c r="A5" s="27" t="n">
        <v>2</v>
      </c>
      <c r="B5" s="149" t="s">
        <v>497</v>
      </c>
      <c r="C5" s="27" t="s">
        <v>498</v>
      </c>
      <c r="D5" s="79" t="s">
        <v>499</v>
      </c>
      <c r="E5" s="79" t="s">
        <v>500</v>
      </c>
      <c r="F5" s="69" t="s">
        <v>501</v>
      </c>
      <c r="G5" s="150" t="s">
        <v>502</v>
      </c>
    </row>
    <row r="6" customFormat="false" ht="36" hidden="false" customHeight="true" outlineLevel="0" collapsed="false">
      <c r="A6" s="107" t="n">
        <v>3</v>
      </c>
      <c r="B6" s="147" t="s">
        <v>503</v>
      </c>
      <c r="C6" s="107" t="s">
        <v>504</v>
      </c>
      <c r="D6" s="79" t="s">
        <v>505</v>
      </c>
      <c r="E6" s="78" t="s">
        <v>506</v>
      </c>
      <c r="F6" s="69" t="s">
        <v>507</v>
      </c>
      <c r="G6" s="148" t="s">
        <v>508</v>
      </c>
    </row>
    <row r="7" customFormat="false" ht="36" hidden="false" customHeight="true" outlineLevel="0" collapsed="false">
      <c r="A7" s="27" t="n">
        <v>4</v>
      </c>
      <c r="B7" s="149" t="s">
        <v>509</v>
      </c>
      <c r="C7" s="27" t="s">
        <v>510</v>
      </c>
      <c r="D7" s="78" t="s">
        <v>511</v>
      </c>
      <c r="E7" s="79" t="s">
        <v>512</v>
      </c>
      <c r="F7" s="79" t="s">
        <v>513</v>
      </c>
      <c r="G7" s="150" t="s">
        <v>514</v>
      </c>
    </row>
    <row r="8" customFormat="false" ht="36" hidden="false" customHeight="true" outlineLevel="0" collapsed="false">
      <c r="A8" s="107" t="n">
        <v>5</v>
      </c>
      <c r="B8" s="147" t="s">
        <v>515</v>
      </c>
      <c r="C8" s="107" t="s">
        <v>492</v>
      </c>
      <c r="D8" s="78" t="s">
        <v>516</v>
      </c>
      <c r="E8" s="79" t="s">
        <v>511</v>
      </c>
      <c r="F8" s="69" t="s">
        <v>517</v>
      </c>
      <c r="G8" s="148" t="s">
        <v>518</v>
      </c>
    </row>
    <row r="9" customFormat="false" ht="36" hidden="false" customHeight="true" outlineLevel="0" collapsed="false">
      <c r="A9" s="27" t="n">
        <v>6</v>
      </c>
      <c r="B9" s="149" t="s">
        <v>519</v>
      </c>
      <c r="C9" s="27" t="s">
        <v>520</v>
      </c>
      <c r="D9" s="79" t="s">
        <v>505</v>
      </c>
      <c r="E9" s="79" t="s">
        <v>516</v>
      </c>
      <c r="F9" s="69" t="s">
        <v>521</v>
      </c>
      <c r="G9" s="150" t="s">
        <v>522</v>
      </c>
    </row>
    <row r="10" customFormat="false" ht="36" hidden="false" customHeight="true" outlineLevel="0" collapsed="false">
      <c r="A10" s="107" t="n">
        <v>7</v>
      </c>
      <c r="B10" s="147" t="s">
        <v>523</v>
      </c>
      <c r="C10" s="107" t="s">
        <v>524</v>
      </c>
      <c r="D10" s="69" t="s">
        <v>525</v>
      </c>
      <c r="E10" s="78" t="s">
        <v>494</v>
      </c>
      <c r="F10" s="69" t="s">
        <v>526</v>
      </c>
      <c r="G10" s="148" t="s">
        <v>527</v>
      </c>
    </row>
    <row r="11" customFormat="false" ht="36" hidden="false" customHeight="true" outlineLevel="0" collapsed="false">
      <c r="A11" s="27" t="n">
        <v>8</v>
      </c>
      <c r="B11" s="149" t="s">
        <v>528</v>
      </c>
      <c r="C11" s="27" t="s">
        <v>529</v>
      </c>
      <c r="D11" s="69" t="s">
        <v>525</v>
      </c>
      <c r="E11" s="79" t="s">
        <v>530</v>
      </c>
      <c r="F11" s="69" t="s">
        <v>531</v>
      </c>
      <c r="G11" s="150" t="s">
        <v>532</v>
      </c>
    </row>
    <row r="12" customFormat="false" ht="36" hidden="false" customHeight="true" outlineLevel="0" collapsed="false">
      <c r="A12" s="107" t="n">
        <v>9</v>
      </c>
      <c r="B12" s="147" t="s">
        <v>533</v>
      </c>
      <c r="C12" s="107" t="s">
        <v>534</v>
      </c>
      <c r="D12" s="79" t="s">
        <v>499</v>
      </c>
      <c r="E12" s="78" t="s">
        <v>535</v>
      </c>
      <c r="F12" s="69" t="s">
        <v>536</v>
      </c>
      <c r="G12" s="148" t="s">
        <v>537</v>
      </c>
    </row>
    <row r="13" customFormat="false" ht="36" hidden="false" customHeight="true" outlineLevel="0" collapsed="false">
      <c r="A13" s="27" t="n">
        <v>10</v>
      </c>
      <c r="B13" s="149" t="s">
        <v>538</v>
      </c>
      <c r="C13" s="27" t="s">
        <v>498</v>
      </c>
      <c r="D13" s="79" t="s">
        <v>539</v>
      </c>
      <c r="E13" s="78" t="s">
        <v>494</v>
      </c>
      <c r="F13" s="79" t="s">
        <v>540</v>
      </c>
      <c r="G13" s="150" t="s">
        <v>541</v>
      </c>
    </row>
    <row r="14" customFormat="false" ht="36" hidden="false" customHeight="true" outlineLevel="0" collapsed="false">
      <c r="A14" s="107" t="n">
        <v>11</v>
      </c>
      <c r="B14" s="147" t="s">
        <v>542</v>
      </c>
      <c r="C14" s="107" t="s">
        <v>510</v>
      </c>
      <c r="D14" s="79" t="s">
        <v>499</v>
      </c>
      <c r="E14" s="79" t="s">
        <v>512</v>
      </c>
      <c r="F14" s="69" t="s">
        <v>543</v>
      </c>
      <c r="G14" s="148" t="s">
        <v>544</v>
      </c>
    </row>
    <row r="15" customFormat="false" ht="36" hidden="false" customHeight="true" outlineLevel="0" collapsed="false">
      <c r="A15" s="27" t="n">
        <v>12</v>
      </c>
      <c r="B15" s="149" t="s">
        <v>545</v>
      </c>
      <c r="C15" s="27" t="s">
        <v>546</v>
      </c>
      <c r="D15" s="79" t="s">
        <v>505</v>
      </c>
      <c r="E15" s="79" t="s">
        <v>500</v>
      </c>
      <c r="F15" s="69" t="s">
        <v>547</v>
      </c>
      <c r="G15" s="150" t="s">
        <v>548</v>
      </c>
    </row>
    <row r="16" customFormat="false" ht="36" hidden="false" customHeight="true" outlineLevel="0" collapsed="false">
      <c r="A16" s="107" t="n">
        <v>13</v>
      </c>
      <c r="B16" s="147" t="s">
        <v>549</v>
      </c>
      <c r="C16" s="107" t="s">
        <v>492</v>
      </c>
      <c r="D16" s="69" t="s">
        <v>550</v>
      </c>
      <c r="E16" s="79" t="s">
        <v>530</v>
      </c>
      <c r="F16" s="69" t="s">
        <v>551</v>
      </c>
      <c r="G16" s="148" t="s">
        <v>552</v>
      </c>
    </row>
    <row r="17" customFormat="false" ht="36" hidden="false" customHeight="true" outlineLevel="0" collapsed="false">
      <c r="A17" s="27" t="n">
        <v>14</v>
      </c>
      <c r="B17" s="149" t="s">
        <v>553</v>
      </c>
      <c r="C17" s="27" t="s">
        <v>529</v>
      </c>
      <c r="D17" s="69" t="s">
        <v>554</v>
      </c>
      <c r="E17" s="78" t="s">
        <v>535</v>
      </c>
      <c r="F17" s="69" t="s">
        <v>555</v>
      </c>
      <c r="G17" s="150" t="s">
        <v>556</v>
      </c>
    </row>
    <row r="18" customFormat="false" ht="36" hidden="false" customHeight="true" outlineLevel="0" collapsed="false">
      <c r="A18" s="107" t="n">
        <v>15</v>
      </c>
      <c r="B18" s="147" t="s">
        <v>557</v>
      </c>
      <c r="C18" s="107" t="s">
        <v>534</v>
      </c>
      <c r="D18" s="79" t="s">
        <v>539</v>
      </c>
      <c r="E18" s="79" t="s">
        <v>512</v>
      </c>
      <c r="F18" s="69" t="s">
        <v>517</v>
      </c>
      <c r="G18" s="148" t="s">
        <v>558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30" t="s">
        <v>559</v>
      </c>
      <c r="B1" s="30"/>
      <c r="C1" s="30"/>
      <c r="D1" s="30"/>
      <c r="E1" s="30"/>
      <c r="F1" s="30"/>
      <c r="G1" s="30"/>
      <c r="H1" s="30"/>
    </row>
    <row r="3" customFormat="false" ht="15" hidden="false" customHeight="false" outlineLevel="0" collapsed="false">
      <c r="A3" s="22" t="s">
        <v>277</v>
      </c>
      <c r="B3" s="22" t="s">
        <v>560</v>
      </c>
      <c r="C3" s="22" t="s">
        <v>561</v>
      </c>
      <c r="D3" s="22" t="s">
        <v>562</v>
      </c>
      <c r="E3" s="22" t="s">
        <v>563</v>
      </c>
      <c r="F3" s="22" t="s">
        <v>564</v>
      </c>
      <c r="G3" s="22" t="s">
        <v>284</v>
      </c>
      <c r="H3" s="22" t="s">
        <v>565</v>
      </c>
    </row>
    <row r="4" customFormat="false" ht="39.75" hidden="false" customHeight="true" outlineLevel="0" collapsed="false">
      <c r="A4" s="107" t="n">
        <v>1</v>
      </c>
      <c r="B4" s="147" t="s">
        <v>566</v>
      </c>
      <c r="C4" s="107" t="s">
        <v>164</v>
      </c>
      <c r="D4" s="151" t="s">
        <v>264</v>
      </c>
      <c r="E4" s="152" t="s">
        <v>567</v>
      </c>
      <c r="F4" s="153" t="n">
        <v>3000000</v>
      </c>
      <c r="G4" s="79" t="s">
        <v>568</v>
      </c>
      <c r="H4" s="154" t="s">
        <v>569</v>
      </c>
    </row>
    <row r="5" customFormat="false" ht="39.75" hidden="false" customHeight="true" outlineLevel="0" collapsed="false">
      <c r="A5" s="27" t="n">
        <v>2</v>
      </c>
      <c r="B5" s="149" t="s">
        <v>570</v>
      </c>
      <c r="C5" s="27" t="s">
        <v>165</v>
      </c>
      <c r="D5" s="151" t="s">
        <v>264</v>
      </c>
      <c r="E5" s="155" t="s">
        <v>571</v>
      </c>
      <c r="F5" s="153" t="n">
        <v>2500000</v>
      </c>
      <c r="G5" s="146" t="s">
        <v>572</v>
      </c>
      <c r="H5" s="156" t="s">
        <v>573</v>
      </c>
    </row>
    <row r="6" customFormat="false" ht="39.75" hidden="false" customHeight="true" outlineLevel="0" collapsed="false">
      <c r="A6" s="107" t="n">
        <v>3</v>
      </c>
      <c r="B6" s="147" t="s">
        <v>574</v>
      </c>
      <c r="C6" s="107" t="s">
        <v>168</v>
      </c>
      <c r="D6" s="151" t="s">
        <v>264</v>
      </c>
      <c r="E6" s="152" t="s">
        <v>575</v>
      </c>
      <c r="F6" s="153" t="n">
        <v>2500000</v>
      </c>
      <c r="G6" s="146" t="s">
        <v>572</v>
      </c>
      <c r="H6" s="154" t="s">
        <v>576</v>
      </c>
    </row>
    <row r="7" customFormat="false" ht="39.75" hidden="false" customHeight="true" outlineLevel="0" collapsed="false">
      <c r="A7" s="27" t="n">
        <v>4</v>
      </c>
      <c r="B7" s="149" t="s">
        <v>577</v>
      </c>
      <c r="C7" s="27" t="s">
        <v>171</v>
      </c>
      <c r="D7" s="151" t="s">
        <v>264</v>
      </c>
      <c r="E7" s="155" t="s">
        <v>578</v>
      </c>
      <c r="F7" s="153" t="n">
        <v>4000000</v>
      </c>
      <c r="G7" s="146" t="s">
        <v>572</v>
      </c>
      <c r="H7" s="156" t="s">
        <v>579</v>
      </c>
    </row>
    <row r="8" customFormat="false" ht="39.75" hidden="false" customHeight="true" outlineLevel="0" collapsed="false">
      <c r="A8" s="107" t="n">
        <v>5</v>
      </c>
      <c r="B8" s="147" t="s">
        <v>580</v>
      </c>
      <c r="C8" s="107" t="s">
        <v>174</v>
      </c>
      <c r="D8" s="151" t="s">
        <v>264</v>
      </c>
      <c r="E8" s="152" t="s">
        <v>581</v>
      </c>
      <c r="F8" s="153" t="n">
        <v>3000000</v>
      </c>
      <c r="G8" s="146" t="s">
        <v>572</v>
      </c>
      <c r="H8" s="154" t="s">
        <v>582</v>
      </c>
    </row>
    <row r="9" customFormat="false" ht="39.75" hidden="false" customHeight="true" outlineLevel="0" collapsed="false">
      <c r="A9" s="27" t="n">
        <v>6</v>
      </c>
      <c r="B9" s="149" t="s">
        <v>583</v>
      </c>
      <c r="C9" s="27" t="s">
        <v>180</v>
      </c>
      <c r="D9" s="151" t="s">
        <v>264</v>
      </c>
      <c r="E9" s="155" t="s">
        <v>584</v>
      </c>
      <c r="F9" s="153" t="n">
        <v>3000000</v>
      </c>
      <c r="G9" s="146" t="s">
        <v>572</v>
      </c>
      <c r="H9" s="156" t="s">
        <v>585</v>
      </c>
    </row>
    <row r="10" customFormat="false" ht="39.75" hidden="false" customHeight="true" outlineLevel="0" collapsed="false">
      <c r="A10" s="107" t="n">
        <v>7</v>
      </c>
      <c r="B10" s="147" t="s">
        <v>586</v>
      </c>
      <c r="C10" s="107" t="s">
        <v>186</v>
      </c>
      <c r="D10" s="151" t="s">
        <v>264</v>
      </c>
      <c r="E10" s="152" t="s">
        <v>587</v>
      </c>
      <c r="F10" s="153" t="n">
        <v>5000000</v>
      </c>
      <c r="G10" s="146" t="s">
        <v>572</v>
      </c>
      <c r="H10" s="154" t="s">
        <v>588</v>
      </c>
    </row>
    <row r="11" customFormat="false" ht="39.75" hidden="false" customHeight="true" outlineLevel="0" collapsed="false">
      <c r="A11" s="96" t="n">
        <v>8</v>
      </c>
      <c r="B11" s="157" t="s">
        <v>589</v>
      </c>
      <c r="C11" s="96" t="s">
        <v>590</v>
      </c>
      <c r="D11" s="151" t="s">
        <v>264</v>
      </c>
      <c r="E11" s="158" t="s">
        <v>591</v>
      </c>
      <c r="F11" s="47" t="n">
        <v>1200000</v>
      </c>
      <c r="G11" s="78" t="s">
        <v>592</v>
      </c>
      <c r="H11" s="159" t="s">
        <v>593</v>
      </c>
    </row>
    <row r="12" customFormat="false" ht="39.75" hidden="false" customHeight="true" outlineLevel="0" collapsed="false">
      <c r="A12" s="96" t="n">
        <v>9</v>
      </c>
      <c r="B12" s="157" t="s">
        <v>594</v>
      </c>
      <c r="C12" s="96" t="s">
        <v>595</v>
      </c>
      <c r="D12" s="151" t="s">
        <v>264</v>
      </c>
      <c r="E12" s="158" t="s">
        <v>596</v>
      </c>
      <c r="F12" s="47" t="n">
        <v>600000</v>
      </c>
      <c r="G12" s="78" t="s">
        <v>592</v>
      </c>
      <c r="H12" s="159" t="s">
        <v>597</v>
      </c>
    </row>
    <row r="13" customFormat="false" ht="15" hidden="false" customHeight="false" outlineLevel="0" collapsed="false">
      <c r="A13" s="99" t="s">
        <v>598</v>
      </c>
      <c r="B13" s="99"/>
      <c r="C13" s="99"/>
      <c r="D13" s="99"/>
      <c r="E13" s="99"/>
      <c r="F13" s="160" t="n">
        <v>24800000</v>
      </c>
      <c r="G13" s="161" t="e">
        <f aca="false">₹2,00,00,000</f>
        <v>#N/A</v>
      </c>
      <c r="H13" s="162" t="s">
        <v>599</v>
      </c>
    </row>
  </sheetData>
  <mergeCells count="2">
    <mergeCell ref="A1:H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  <col collapsed="false" customWidth="true" hidden="false" outlineLevel="0" max="5" min="5" style="0" width="28"/>
  </cols>
  <sheetData>
    <row r="1" customFormat="false" ht="25.5" hidden="false" customHeight="true" outlineLevel="0" collapsed="false">
      <c r="A1" s="30" t="s">
        <v>600</v>
      </c>
      <c r="B1" s="30"/>
      <c r="C1" s="30"/>
      <c r="D1" s="30"/>
      <c r="E1" s="30"/>
    </row>
    <row r="3" customFormat="false" ht="15" hidden="false" customHeight="false" outlineLevel="0" collapsed="false">
      <c r="A3" s="22" t="s">
        <v>601</v>
      </c>
      <c r="B3" s="22" t="s">
        <v>602</v>
      </c>
      <c r="C3" s="22" t="s">
        <v>603</v>
      </c>
      <c r="D3" s="22" t="s">
        <v>604</v>
      </c>
      <c r="E3" s="22" t="s">
        <v>605</v>
      </c>
    </row>
    <row r="4" customFormat="false" ht="36" hidden="false" customHeight="true" outlineLevel="0" collapsed="false">
      <c r="A4" s="45" t="s">
        <v>606</v>
      </c>
      <c r="B4" s="163" t="s">
        <v>607</v>
      </c>
      <c r="C4" s="45" t="s">
        <v>608</v>
      </c>
      <c r="D4" s="45" t="s">
        <v>609</v>
      </c>
      <c r="E4" s="152" t="s">
        <v>610</v>
      </c>
    </row>
    <row r="5" customFormat="false" ht="36" hidden="false" customHeight="true" outlineLevel="0" collapsed="false">
      <c r="A5" s="70" t="s">
        <v>611</v>
      </c>
      <c r="B5" s="164" t="s">
        <v>612</v>
      </c>
      <c r="C5" s="70" t="s">
        <v>613</v>
      </c>
      <c r="D5" s="70" t="s">
        <v>614</v>
      </c>
      <c r="E5" s="155" t="s">
        <v>615</v>
      </c>
    </row>
    <row r="6" customFormat="false" ht="36" hidden="false" customHeight="true" outlineLevel="0" collapsed="false">
      <c r="A6" s="73" t="s">
        <v>616</v>
      </c>
      <c r="B6" s="165" t="s">
        <v>617</v>
      </c>
      <c r="C6" s="73" t="s">
        <v>618</v>
      </c>
      <c r="D6" s="73" t="s">
        <v>619</v>
      </c>
      <c r="E6" s="152" t="s">
        <v>620</v>
      </c>
    </row>
    <row r="8" customFormat="false" ht="9.75" hidden="false" customHeight="true" outlineLevel="0" collapsed="false"/>
    <row r="9" customFormat="false" ht="19.5" hidden="false" customHeight="true" outlineLevel="0" collapsed="false">
      <c r="A9" s="99" t="s">
        <v>621</v>
      </c>
      <c r="B9" s="99"/>
      <c r="C9" s="99"/>
      <c r="D9" s="99"/>
      <c r="E9" s="99"/>
    </row>
    <row r="10" customFormat="false" ht="15" hidden="false" customHeight="false" outlineLevel="0" collapsed="false">
      <c r="A10" s="11" t="s">
        <v>199</v>
      </c>
      <c r="B10" s="11" t="s">
        <v>622</v>
      </c>
      <c r="C10" s="11" t="s">
        <v>623</v>
      </c>
      <c r="D10" s="11" t="s">
        <v>624</v>
      </c>
      <c r="E10" s="11" t="s">
        <v>284</v>
      </c>
    </row>
    <row r="11" customFormat="false" ht="15" hidden="false" customHeight="false" outlineLevel="0" collapsed="false">
      <c r="A11" s="12" t="s">
        <v>625</v>
      </c>
      <c r="B11" s="166" t="s">
        <v>626</v>
      </c>
      <c r="C11" s="167" t="s">
        <v>416</v>
      </c>
      <c r="D11" s="168" t="s">
        <v>627</v>
      </c>
      <c r="E11" s="78" t="s">
        <v>628</v>
      </c>
    </row>
    <row r="12" customFormat="false" ht="15" hidden="false" customHeight="false" outlineLevel="0" collapsed="false">
      <c r="A12" s="17" t="s">
        <v>629</v>
      </c>
      <c r="B12" s="169" t="s">
        <v>630</v>
      </c>
      <c r="C12" s="170" t="s">
        <v>631</v>
      </c>
      <c r="D12" s="171" t="s">
        <v>632</v>
      </c>
      <c r="E12" s="146" t="s">
        <v>432</v>
      </c>
    </row>
    <row r="13" customFormat="false" ht="15" hidden="false" customHeight="false" outlineLevel="0" collapsed="false">
      <c r="A13" s="12" t="s">
        <v>633</v>
      </c>
      <c r="B13" s="166" t="s">
        <v>634</v>
      </c>
      <c r="C13" s="167" t="s">
        <v>426</v>
      </c>
      <c r="D13" s="168" t="s">
        <v>635</v>
      </c>
      <c r="E13" s="78" t="s">
        <v>628</v>
      </c>
    </row>
    <row r="14" customFormat="false" ht="15" hidden="false" customHeight="false" outlineLevel="0" collapsed="false">
      <c r="A14" s="17" t="s">
        <v>636</v>
      </c>
      <c r="B14" s="169" t="s">
        <v>637</v>
      </c>
      <c r="C14" s="170" t="s">
        <v>631</v>
      </c>
      <c r="D14" s="171" t="s">
        <v>638</v>
      </c>
      <c r="E14" s="146" t="s">
        <v>432</v>
      </c>
    </row>
    <row r="15" customFormat="false" ht="15" hidden="false" customHeight="false" outlineLevel="0" collapsed="false">
      <c r="A15" s="12" t="s">
        <v>461</v>
      </c>
      <c r="B15" s="166" t="s">
        <v>639</v>
      </c>
      <c r="C15" s="172" t="s">
        <v>631</v>
      </c>
      <c r="D15" s="168" t="s">
        <v>640</v>
      </c>
      <c r="E15" s="146" t="s">
        <v>432</v>
      </c>
    </row>
    <row r="16" customFormat="false" ht="15" hidden="false" customHeight="false" outlineLevel="0" collapsed="false">
      <c r="A16" s="17" t="s">
        <v>641</v>
      </c>
      <c r="B16" s="169" t="s">
        <v>642</v>
      </c>
      <c r="C16" s="170" t="s">
        <v>631</v>
      </c>
      <c r="D16" s="171" t="s">
        <v>643</v>
      </c>
      <c r="E16" s="146" t="s">
        <v>432</v>
      </c>
    </row>
    <row r="17" customFormat="false" ht="15" hidden="false" customHeight="false" outlineLevel="0" collapsed="false">
      <c r="A17" s="12" t="s">
        <v>473</v>
      </c>
      <c r="B17" s="166" t="s">
        <v>644</v>
      </c>
      <c r="C17" s="172" t="s">
        <v>631</v>
      </c>
      <c r="D17" s="168" t="s">
        <v>645</v>
      </c>
      <c r="E17" s="146" t="s">
        <v>432</v>
      </c>
    </row>
    <row r="18" customFormat="false" ht="15" hidden="false" customHeight="false" outlineLevel="0" collapsed="false">
      <c r="A18" s="17" t="s">
        <v>646</v>
      </c>
      <c r="B18" s="169" t="s">
        <v>647</v>
      </c>
      <c r="C18" s="170" t="s">
        <v>631</v>
      </c>
      <c r="D18" s="171" t="s">
        <v>648</v>
      </c>
      <c r="E18" s="146" t="s">
        <v>432</v>
      </c>
    </row>
    <row r="19" customFormat="false" ht="15" hidden="false" customHeight="false" outlineLevel="0" collapsed="false">
      <c r="A19" s="12" t="s">
        <v>577</v>
      </c>
      <c r="B19" s="166" t="s">
        <v>649</v>
      </c>
      <c r="C19" s="167" t="s">
        <v>426</v>
      </c>
      <c r="D19" s="168" t="s">
        <v>650</v>
      </c>
      <c r="E19" s="78" t="s">
        <v>628</v>
      </c>
    </row>
    <row r="20" customFormat="false" ht="15" hidden="false" customHeight="false" outlineLevel="0" collapsed="false">
      <c r="A20" s="17" t="s">
        <v>651</v>
      </c>
      <c r="B20" s="169" t="s">
        <v>652</v>
      </c>
      <c r="C20" s="173" t="s">
        <v>653</v>
      </c>
      <c r="D20" s="171" t="s">
        <v>654</v>
      </c>
      <c r="E20" s="78" t="s">
        <v>628</v>
      </c>
    </row>
    <row r="21" customFormat="false" ht="15" hidden="false" customHeight="false" outlineLevel="0" collapsed="false">
      <c r="A21" s="12" t="s">
        <v>655</v>
      </c>
      <c r="B21" s="166" t="s">
        <v>656</v>
      </c>
      <c r="C21" s="172" t="s">
        <v>631</v>
      </c>
      <c r="D21" s="168" t="s">
        <v>657</v>
      </c>
      <c r="E21" s="146" t="s">
        <v>432</v>
      </c>
    </row>
    <row r="22" customFormat="false" ht="15" hidden="false" customHeight="false" outlineLevel="0" collapsed="false">
      <c r="A22" s="17" t="s">
        <v>658</v>
      </c>
      <c r="B22" s="169" t="s">
        <v>659</v>
      </c>
      <c r="C22" s="173" t="s">
        <v>426</v>
      </c>
      <c r="D22" s="171" t="s">
        <v>660</v>
      </c>
      <c r="E22" s="78" t="s">
        <v>628</v>
      </c>
    </row>
    <row r="23" customFormat="false" ht="15" hidden="false" customHeight="false" outlineLevel="0" collapsed="false">
      <c r="A23" s="12" t="s">
        <v>661</v>
      </c>
      <c r="B23" s="166" t="s">
        <v>662</v>
      </c>
      <c r="C23" s="167" t="s">
        <v>663</v>
      </c>
      <c r="D23" s="168" t="s">
        <v>664</v>
      </c>
      <c r="E23" s="79" t="s">
        <v>665</v>
      </c>
    </row>
    <row r="24" customFormat="false" ht="15" hidden="false" customHeight="false" outlineLevel="0" collapsed="false">
      <c r="A24" s="17" t="s">
        <v>666</v>
      </c>
      <c r="B24" s="169" t="s">
        <v>667</v>
      </c>
      <c r="C24" s="173" t="s">
        <v>663</v>
      </c>
      <c r="D24" s="171" t="s">
        <v>668</v>
      </c>
      <c r="E24" s="79" t="s">
        <v>665</v>
      </c>
    </row>
    <row r="25" customFormat="false" ht="15" hidden="false" customHeight="false" outlineLevel="0" collapsed="false">
      <c r="A25" s="12" t="s">
        <v>669</v>
      </c>
      <c r="B25" s="166" t="s">
        <v>670</v>
      </c>
      <c r="C25" s="167" t="s">
        <v>663</v>
      </c>
      <c r="D25" s="168" t="s">
        <v>671</v>
      </c>
      <c r="E25" s="78" t="s">
        <v>628</v>
      </c>
    </row>
    <row r="26" customFormat="false" ht="15" hidden="false" customHeight="false" outlineLevel="0" collapsed="false">
      <c r="A26" s="17" t="s">
        <v>672</v>
      </c>
      <c r="B26" s="169" t="s">
        <v>673</v>
      </c>
      <c r="C26" s="173" t="s">
        <v>663</v>
      </c>
      <c r="D26" s="171" t="s">
        <v>674</v>
      </c>
      <c r="E26" s="79" t="s">
        <v>675</v>
      </c>
    </row>
    <row r="27" customFormat="false" ht="15" hidden="false" customHeight="false" outlineLevel="0" collapsed="false">
      <c r="A27" s="12" t="s">
        <v>676</v>
      </c>
      <c r="B27" s="166" t="s">
        <v>677</v>
      </c>
      <c r="C27" s="167" t="s">
        <v>678</v>
      </c>
      <c r="D27" s="168" t="s">
        <v>679</v>
      </c>
      <c r="E27" s="69" t="s">
        <v>680</v>
      </c>
    </row>
    <row r="28" customFormat="false" ht="15" hidden="false" customHeight="false" outlineLevel="0" collapsed="false">
      <c r="A28" s="17" t="s">
        <v>681</v>
      </c>
      <c r="B28" s="169" t="s">
        <v>682</v>
      </c>
      <c r="C28" s="173" t="s">
        <v>683</v>
      </c>
      <c r="D28" s="171" t="s">
        <v>684</v>
      </c>
      <c r="E28" s="79" t="s">
        <v>568</v>
      </c>
    </row>
    <row r="29" customFormat="false" ht="15" hidden="false" customHeight="false" outlineLevel="0" collapsed="false">
      <c r="A29" s="12" t="s">
        <v>685</v>
      </c>
      <c r="B29" s="166" t="s">
        <v>686</v>
      </c>
      <c r="C29" s="167" t="s">
        <v>426</v>
      </c>
      <c r="D29" s="168" t="s">
        <v>687</v>
      </c>
      <c r="E29" s="78" t="s">
        <v>628</v>
      </c>
    </row>
    <row r="30" customFormat="false" ht="15" hidden="false" customHeight="false" outlineLevel="0" collapsed="false">
      <c r="A30" s="17" t="s">
        <v>688</v>
      </c>
      <c r="B30" s="169" t="s">
        <v>689</v>
      </c>
      <c r="C30" s="173" t="s">
        <v>690</v>
      </c>
      <c r="D30" s="171" t="s">
        <v>691</v>
      </c>
      <c r="E30" s="79" t="s">
        <v>692</v>
      </c>
    </row>
    <row r="31" customFormat="false" ht="15" hidden="false" customHeight="false" outlineLevel="0" collapsed="false">
      <c r="A31" s="12" t="s">
        <v>693</v>
      </c>
      <c r="B31" s="166" t="s">
        <v>694</v>
      </c>
      <c r="C31" s="167" t="s">
        <v>690</v>
      </c>
      <c r="D31" s="168" t="s">
        <v>695</v>
      </c>
      <c r="E31" s="79" t="s">
        <v>696</v>
      </c>
    </row>
    <row r="32" customFormat="false" ht="15" hidden="false" customHeight="false" outlineLevel="0" collapsed="false">
      <c r="A32" s="17" t="s">
        <v>697</v>
      </c>
      <c r="B32" s="169" t="s">
        <v>698</v>
      </c>
      <c r="C32" s="173" t="s">
        <v>663</v>
      </c>
      <c r="D32" s="171" t="s">
        <v>699</v>
      </c>
      <c r="E32" s="146" t="s">
        <v>432</v>
      </c>
    </row>
    <row r="33" customFormat="false" ht="15" hidden="false" customHeight="false" outlineLevel="0" collapsed="false">
      <c r="A33" s="12" t="s">
        <v>700</v>
      </c>
      <c r="B33" s="166" t="s">
        <v>701</v>
      </c>
      <c r="C33" s="167" t="s">
        <v>426</v>
      </c>
      <c r="D33" s="168" t="s">
        <v>702</v>
      </c>
      <c r="E33" s="78" t="s">
        <v>703</v>
      </c>
    </row>
    <row r="34" customFormat="false" ht="15" hidden="false" customHeight="false" outlineLevel="0" collapsed="false">
      <c r="A34" s="17" t="s">
        <v>704</v>
      </c>
      <c r="B34" s="169" t="s">
        <v>705</v>
      </c>
      <c r="C34" s="173" t="s">
        <v>690</v>
      </c>
      <c r="D34" s="171" t="s">
        <v>706</v>
      </c>
      <c r="E34" s="79" t="s">
        <v>696</v>
      </c>
    </row>
    <row r="35" customFormat="false" ht="15" hidden="false" customHeight="false" outlineLevel="0" collapsed="false">
      <c r="A35" s="12" t="s">
        <v>707</v>
      </c>
      <c r="B35" s="166" t="s">
        <v>708</v>
      </c>
      <c r="C35" s="167" t="s">
        <v>690</v>
      </c>
      <c r="D35" s="168" t="s">
        <v>709</v>
      </c>
      <c r="E35" s="79" t="s">
        <v>696</v>
      </c>
    </row>
  </sheetData>
  <mergeCells count="2">
    <mergeCell ref="A1:E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6"/>
    <col collapsed="false" customWidth="true" hidden="false" outlineLevel="0" max="3" min="3" style="0" width="20"/>
  </cols>
  <sheetData>
    <row r="1" customFormat="false" ht="25.5" hidden="false" customHeight="true" outlineLevel="0" collapsed="false">
      <c r="A1" s="174" t="s">
        <v>710</v>
      </c>
      <c r="B1" s="174"/>
      <c r="C1" s="174"/>
    </row>
    <row r="3" customFormat="false" ht="15" hidden="false" customHeight="false" outlineLevel="0" collapsed="false">
      <c r="A3" s="22" t="s">
        <v>711</v>
      </c>
      <c r="B3" s="22" t="s">
        <v>712</v>
      </c>
      <c r="C3" s="22" t="s">
        <v>713</v>
      </c>
    </row>
    <row r="4" customFormat="false" ht="15" hidden="false" customHeight="false" outlineLevel="0" collapsed="false">
      <c r="A4" s="11" t="s">
        <v>714</v>
      </c>
      <c r="B4" s="11" t="s">
        <v>715</v>
      </c>
      <c r="C4" s="11" t="s">
        <v>716</v>
      </c>
    </row>
    <row r="5" customFormat="false" ht="60" hidden="false" customHeight="true" outlineLevel="0" collapsed="false">
      <c r="A5" s="149" t="s">
        <v>717</v>
      </c>
      <c r="B5" s="175" t="s">
        <v>718</v>
      </c>
      <c r="C5" s="69" t="s">
        <v>305</v>
      </c>
    </row>
    <row r="6" customFormat="false" ht="60" hidden="false" customHeight="true" outlineLevel="0" collapsed="false">
      <c r="A6" s="147" t="s">
        <v>719</v>
      </c>
      <c r="B6" s="176" t="s">
        <v>720</v>
      </c>
      <c r="C6" s="69" t="s">
        <v>305</v>
      </c>
    </row>
    <row r="7" customFormat="false" ht="60" hidden="false" customHeight="true" outlineLevel="0" collapsed="false">
      <c r="A7" s="149" t="s">
        <v>721</v>
      </c>
      <c r="B7" s="175" t="s">
        <v>722</v>
      </c>
      <c r="C7" s="69" t="s">
        <v>305</v>
      </c>
    </row>
    <row r="8" customFormat="false" ht="60" hidden="false" customHeight="true" outlineLevel="0" collapsed="false">
      <c r="A8" s="147" t="s">
        <v>723</v>
      </c>
      <c r="B8" s="176" t="s">
        <v>724</v>
      </c>
      <c r="C8" s="79" t="s">
        <v>327</v>
      </c>
    </row>
    <row r="9" customFormat="false" ht="60" hidden="false" customHeight="true" outlineLevel="0" collapsed="false">
      <c r="A9" s="149" t="s">
        <v>725</v>
      </c>
      <c r="B9" s="175" t="s">
        <v>726</v>
      </c>
      <c r="C9" s="79" t="s">
        <v>327</v>
      </c>
    </row>
    <row r="10" customFormat="false" ht="60" hidden="false" customHeight="true" outlineLevel="0" collapsed="false">
      <c r="A10" s="147" t="s">
        <v>727</v>
      </c>
      <c r="B10" s="176" t="s">
        <v>728</v>
      </c>
      <c r="C10" s="79" t="s">
        <v>327</v>
      </c>
    </row>
    <row r="11" customFormat="false" ht="60" hidden="false" customHeight="true" outlineLevel="0" collapsed="false">
      <c r="A11" s="149" t="s">
        <v>729</v>
      </c>
      <c r="B11" s="175" t="s">
        <v>730</v>
      </c>
      <c r="C11" s="79" t="s">
        <v>731</v>
      </c>
    </row>
    <row r="12" customFormat="false" ht="60" hidden="false" customHeight="true" outlineLevel="0" collapsed="false">
      <c r="A12" s="147" t="s">
        <v>732</v>
      </c>
      <c r="B12" s="176" t="s">
        <v>733</v>
      </c>
      <c r="C12" s="79" t="s">
        <v>327</v>
      </c>
    </row>
    <row r="13" customFormat="false" ht="60" hidden="false" customHeight="true" outlineLevel="0" collapsed="false">
      <c r="A13" s="149" t="s">
        <v>734</v>
      </c>
      <c r="B13" s="175" t="s">
        <v>735</v>
      </c>
      <c r="C13" s="79" t="s">
        <v>327</v>
      </c>
    </row>
    <row r="14" customFormat="false" ht="60" hidden="false" customHeight="true" outlineLevel="0" collapsed="false">
      <c r="A14" s="147" t="s">
        <v>736</v>
      </c>
      <c r="B14" s="176" t="s">
        <v>737</v>
      </c>
      <c r="C14" s="78" t="s">
        <v>738</v>
      </c>
    </row>
    <row r="15" customFormat="false" ht="60" hidden="false" customHeight="true" outlineLevel="0" collapsed="false">
      <c r="A15" s="149" t="s">
        <v>739</v>
      </c>
      <c r="B15" s="175" t="s">
        <v>740</v>
      </c>
      <c r="C15" s="69" t="s">
        <v>305</v>
      </c>
    </row>
    <row r="16" customFormat="false" ht="60" hidden="false" customHeight="true" outlineLevel="0" collapsed="false">
      <c r="A16" s="147" t="s">
        <v>741</v>
      </c>
      <c r="B16" s="176" t="s">
        <v>742</v>
      </c>
      <c r="C16" s="161" t="s">
        <v>289</v>
      </c>
    </row>
    <row r="17" customFormat="false" ht="60" hidden="false" customHeight="true" outlineLevel="0" collapsed="false">
      <c r="A17" s="149" t="s">
        <v>743</v>
      </c>
      <c r="B17" s="175" t="s">
        <v>744</v>
      </c>
      <c r="C17" s="69" t="s">
        <v>305</v>
      </c>
    </row>
    <row r="18" customFormat="false" ht="60" hidden="false" customHeight="true" outlineLevel="0" collapsed="false">
      <c r="A18" s="147" t="s">
        <v>745</v>
      </c>
      <c r="B18" s="176" t="s">
        <v>746</v>
      </c>
      <c r="C18" s="69" t="s">
        <v>305</v>
      </c>
    </row>
    <row r="19" customFormat="false" ht="60" hidden="false" customHeight="true" outlineLevel="0" collapsed="false">
      <c r="A19" s="149" t="s">
        <v>747</v>
      </c>
      <c r="B19" s="175" t="s">
        <v>748</v>
      </c>
      <c r="C19" s="161" t="s">
        <v>289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0"/>
  </cols>
  <sheetData>
    <row r="1" customFormat="false" ht="25.5" hidden="false" customHeight="true" outlineLevel="0" collapsed="false">
      <c r="A1" s="30" t="s">
        <v>749</v>
      </c>
      <c r="B1" s="30"/>
      <c r="C1" s="30"/>
      <c r="D1" s="30"/>
      <c r="E1" s="30"/>
    </row>
    <row r="3" customFormat="false" ht="9.75" hidden="false" customHeight="true" outlineLevel="0" collapsed="false"/>
    <row r="4" customFormat="false" ht="19.5" hidden="false" customHeight="true" outlineLevel="0" collapsed="false">
      <c r="A4" s="73" t="s">
        <v>750</v>
      </c>
      <c r="B4" s="73"/>
      <c r="C4" s="73"/>
      <c r="D4" s="73"/>
      <c r="E4" s="73"/>
    </row>
    <row r="5" customFormat="false" ht="39.75" hidden="false" customHeight="true" outlineLevel="0" collapsed="false">
      <c r="A5" s="12" t="s">
        <v>751</v>
      </c>
      <c r="B5" s="177" t="s">
        <v>752</v>
      </c>
      <c r="C5" s="177"/>
      <c r="D5" s="177"/>
      <c r="E5" s="177"/>
    </row>
    <row r="6" customFormat="false" ht="24" hidden="false" customHeight="true" outlineLevel="0" collapsed="false">
      <c r="A6" s="170" t="s">
        <v>753</v>
      </c>
      <c r="B6" s="178" t="s">
        <v>754</v>
      </c>
      <c r="C6" s="178"/>
      <c r="D6" s="178"/>
      <c r="E6" s="178"/>
    </row>
    <row r="7" customFormat="false" ht="24" hidden="false" customHeight="true" outlineLevel="0" collapsed="false">
      <c r="A7" s="172" t="s">
        <v>755</v>
      </c>
      <c r="B7" s="177" t="s">
        <v>756</v>
      </c>
      <c r="C7" s="177"/>
      <c r="D7" s="177"/>
      <c r="E7" s="177"/>
    </row>
    <row r="8" customFormat="false" ht="24" hidden="false" customHeight="true" outlineLevel="0" collapsed="false">
      <c r="A8" s="170" t="s">
        <v>757</v>
      </c>
      <c r="B8" s="178" t="s">
        <v>758</v>
      </c>
      <c r="C8" s="178"/>
      <c r="D8" s="178"/>
      <c r="E8" s="178"/>
    </row>
    <row r="9" customFormat="false" ht="24" hidden="false" customHeight="true" outlineLevel="0" collapsed="false">
      <c r="A9" s="172" t="s">
        <v>759</v>
      </c>
      <c r="B9" s="177" t="s">
        <v>760</v>
      </c>
      <c r="C9" s="177"/>
      <c r="D9" s="177"/>
      <c r="E9" s="177"/>
    </row>
    <row r="10" customFormat="false" ht="24" hidden="false" customHeight="true" outlineLevel="0" collapsed="false">
      <c r="A10" s="170" t="s">
        <v>761</v>
      </c>
      <c r="B10" s="178" t="s">
        <v>762</v>
      </c>
      <c r="C10" s="178"/>
      <c r="D10" s="178"/>
      <c r="E10" s="178"/>
    </row>
    <row r="11" customFormat="false" ht="9.75" hidden="false" customHeight="true" outlineLevel="0" collapsed="false"/>
    <row r="12" customFormat="false" ht="19.5" hidden="false" customHeight="true" outlineLevel="0" collapsed="false">
      <c r="A12" s="70" t="s">
        <v>763</v>
      </c>
      <c r="B12" s="70"/>
      <c r="C12" s="70"/>
      <c r="D12" s="70"/>
      <c r="E12" s="70"/>
    </row>
    <row r="13" customFormat="false" ht="39.75" hidden="false" customHeight="true" outlineLevel="0" collapsed="false">
      <c r="A13" s="12" t="s">
        <v>751</v>
      </c>
      <c r="B13" s="177" t="s">
        <v>764</v>
      </c>
      <c r="C13" s="177"/>
      <c r="D13" s="177"/>
      <c r="E13" s="177"/>
    </row>
    <row r="14" customFormat="false" ht="24" hidden="false" customHeight="true" outlineLevel="0" collapsed="false">
      <c r="A14" s="170" t="s">
        <v>753</v>
      </c>
      <c r="B14" s="178" t="s">
        <v>765</v>
      </c>
      <c r="C14" s="178"/>
      <c r="D14" s="178"/>
      <c r="E14" s="178"/>
    </row>
    <row r="15" customFormat="false" ht="24" hidden="false" customHeight="true" outlineLevel="0" collapsed="false">
      <c r="A15" s="172" t="s">
        <v>755</v>
      </c>
      <c r="B15" s="177" t="s">
        <v>766</v>
      </c>
      <c r="C15" s="177"/>
      <c r="D15" s="177"/>
      <c r="E15" s="177"/>
    </row>
    <row r="16" customFormat="false" ht="24" hidden="false" customHeight="true" outlineLevel="0" collapsed="false">
      <c r="A16" s="170" t="s">
        <v>757</v>
      </c>
      <c r="B16" s="178" t="s">
        <v>767</v>
      </c>
      <c r="C16" s="178"/>
      <c r="D16" s="178"/>
      <c r="E16" s="178"/>
    </row>
    <row r="17" customFormat="false" ht="24" hidden="false" customHeight="true" outlineLevel="0" collapsed="false">
      <c r="A17" s="172" t="s">
        <v>759</v>
      </c>
      <c r="B17" s="177" t="s">
        <v>768</v>
      </c>
      <c r="C17" s="177"/>
      <c r="D17" s="177"/>
      <c r="E17" s="177"/>
    </row>
    <row r="18" customFormat="false" ht="24" hidden="false" customHeight="true" outlineLevel="0" collapsed="false">
      <c r="A18" s="170" t="s">
        <v>761</v>
      </c>
      <c r="B18" s="178" t="s">
        <v>769</v>
      </c>
      <c r="C18" s="178"/>
      <c r="D18" s="178"/>
      <c r="E18" s="178"/>
    </row>
    <row r="19" customFormat="false" ht="9.75" hidden="false" customHeight="true" outlineLevel="0" collapsed="false"/>
    <row r="20" customFormat="false" ht="19.5" hidden="false" customHeight="true" outlineLevel="0" collapsed="false">
      <c r="A20" s="45" t="s">
        <v>770</v>
      </c>
      <c r="B20" s="45"/>
      <c r="C20" s="45"/>
      <c r="D20" s="45"/>
      <c r="E20" s="45"/>
    </row>
    <row r="21" customFormat="false" ht="39.75" hidden="false" customHeight="true" outlineLevel="0" collapsed="false">
      <c r="A21" s="12" t="s">
        <v>751</v>
      </c>
      <c r="B21" s="177" t="s">
        <v>771</v>
      </c>
      <c r="C21" s="177"/>
      <c r="D21" s="177"/>
      <c r="E21" s="177"/>
    </row>
    <row r="22" customFormat="false" ht="24" hidden="false" customHeight="true" outlineLevel="0" collapsed="false">
      <c r="A22" s="170" t="s">
        <v>753</v>
      </c>
      <c r="B22" s="178" t="s">
        <v>772</v>
      </c>
      <c r="C22" s="178"/>
      <c r="D22" s="178"/>
      <c r="E22" s="178"/>
    </row>
    <row r="23" customFormat="false" ht="24" hidden="false" customHeight="true" outlineLevel="0" collapsed="false">
      <c r="A23" s="172" t="s">
        <v>755</v>
      </c>
      <c r="B23" s="177" t="s">
        <v>773</v>
      </c>
      <c r="C23" s="177"/>
      <c r="D23" s="177"/>
      <c r="E23" s="177"/>
    </row>
    <row r="24" customFormat="false" ht="24" hidden="false" customHeight="true" outlineLevel="0" collapsed="false">
      <c r="A24" s="170" t="s">
        <v>757</v>
      </c>
      <c r="B24" s="178" t="s">
        <v>774</v>
      </c>
      <c r="C24" s="178"/>
      <c r="D24" s="178"/>
      <c r="E24" s="178"/>
    </row>
    <row r="25" customFormat="false" ht="24" hidden="false" customHeight="true" outlineLevel="0" collapsed="false">
      <c r="A25" s="172" t="s">
        <v>759</v>
      </c>
      <c r="B25" s="177" t="s">
        <v>775</v>
      </c>
      <c r="C25" s="177"/>
      <c r="D25" s="177"/>
      <c r="E25" s="177"/>
    </row>
    <row r="26" customFormat="false" ht="24" hidden="false" customHeight="true" outlineLevel="0" collapsed="false">
      <c r="A26" s="170" t="s">
        <v>761</v>
      </c>
      <c r="B26" s="178" t="s">
        <v>776</v>
      </c>
      <c r="C26" s="178"/>
      <c r="D26" s="178"/>
      <c r="E26" s="178"/>
    </row>
    <row r="27" customFormat="false" ht="9.75" hidden="false" customHeight="true" outlineLevel="0" collapsed="false"/>
    <row r="28" customFormat="false" ht="19.5" hidden="false" customHeight="true" outlineLevel="0" collapsed="false">
      <c r="A28" s="179" t="s">
        <v>777</v>
      </c>
      <c r="B28" s="179"/>
      <c r="C28" s="179"/>
      <c r="D28" s="179"/>
      <c r="E28" s="179"/>
    </row>
    <row r="29" customFormat="false" ht="39.75" hidden="false" customHeight="true" outlineLevel="0" collapsed="false">
      <c r="A29" s="12" t="s">
        <v>751</v>
      </c>
      <c r="B29" s="177" t="s">
        <v>778</v>
      </c>
      <c r="C29" s="177"/>
      <c r="D29" s="177"/>
      <c r="E29" s="177"/>
    </row>
    <row r="30" customFormat="false" ht="24" hidden="false" customHeight="true" outlineLevel="0" collapsed="false">
      <c r="A30" s="170" t="s">
        <v>753</v>
      </c>
      <c r="B30" s="178" t="s">
        <v>779</v>
      </c>
      <c r="C30" s="178"/>
      <c r="D30" s="178"/>
      <c r="E30" s="178"/>
    </row>
    <row r="31" customFormat="false" ht="24" hidden="false" customHeight="true" outlineLevel="0" collapsed="false">
      <c r="A31" s="172" t="s">
        <v>755</v>
      </c>
      <c r="B31" s="177" t="s">
        <v>780</v>
      </c>
      <c r="C31" s="177"/>
      <c r="D31" s="177"/>
      <c r="E31" s="177"/>
    </row>
    <row r="32" customFormat="false" ht="24" hidden="false" customHeight="true" outlineLevel="0" collapsed="false">
      <c r="A32" s="170" t="s">
        <v>757</v>
      </c>
      <c r="B32" s="178" t="s">
        <v>781</v>
      </c>
      <c r="C32" s="178"/>
      <c r="D32" s="178"/>
      <c r="E32" s="178"/>
    </row>
    <row r="33" customFormat="false" ht="24" hidden="false" customHeight="true" outlineLevel="0" collapsed="false">
      <c r="A33" s="172" t="s">
        <v>759</v>
      </c>
      <c r="B33" s="177" t="s">
        <v>782</v>
      </c>
      <c r="C33" s="177"/>
      <c r="D33" s="177"/>
      <c r="E33" s="177"/>
    </row>
    <row r="34" customFormat="false" ht="24" hidden="false" customHeight="true" outlineLevel="0" collapsed="false">
      <c r="A34" s="170" t="s">
        <v>761</v>
      </c>
      <c r="B34" s="178" t="s">
        <v>783</v>
      </c>
      <c r="C34" s="178"/>
      <c r="D34" s="178"/>
      <c r="E34" s="178"/>
    </row>
    <row r="35" customFormat="false" ht="9.75" hidden="false" customHeight="true" outlineLevel="0" collapsed="false"/>
    <row r="36" customFormat="false" ht="19.5" hidden="false" customHeight="true" outlineLevel="0" collapsed="false">
      <c r="A36" s="31" t="s">
        <v>784</v>
      </c>
      <c r="B36" s="31"/>
      <c r="C36" s="31"/>
      <c r="D36" s="31"/>
      <c r="E36" s="31"/>
    </row>
    <row r="37" customFormat="false" ht="39.75" hidden="false" customHeight="true" outlineLevel="0" collapsed="false">
      <c r="A37" s="12" t="s">
        <v>751</v>
      </c>
      <c r="B37" s="177" t="s">
        <v>785</v>
      </c>
      <c r="C37" s="177"/>
      <c r="D37" s="177"/>
      <c r="E37" s="177"/>
    </row>
    <row r="38" customFormat="false" ht="24" hidden="false" customHeight="true" outlineLevel="0" collapsed="false">
      <c r="A38" s="170" t="s">
        <v>753</v>
      </c>
      <c r="B38" s="178" t="s">
        <v>786</v>
      </c>
      <c r="C38" s="178"/>
      <c r="D38" s="178"/>
      <c r="E38" s="178"/>
    </row>
    <row r="39" customFormat="false" ht="24" hidden="false" customHeight="true" outlineLevel="0" collapsed="false">
      <c r="A39" s="172" t="s">
        <v>755</v>
      </c>
      <c r="B39" s="177" t="s">
        <v>787</v>
      </c>
      <c r="C39" s="177"/>
      <c r="D39" s="177"/>
      <c r="E39" s="177"/>
    </row>
    <row r="40" customFormat="false" ht="24" hidden="false" customHeight="true" outlineLevel="0" collapsed="false">
      <c r="A40" s="170" t="s">
        <v>757</v>
      </c>
      <c r="B40" s="178" t="s">
        <v>788</v>
      </c>
      <c r="C40" s="178"/>
      <c r="D40" s="178"/>
      <c r="E40" s="178"/>
    </row>
    <row r="41" customFormat="false" ht="24" hidden="false" customHeight="true" outlineLevel="0" collapsed="false">
      <c r="A41" s="172" t="s">
        <v>759</v>
      </c>
      <c r="B41" s="177" t="s">
        <v>789</v>
      </c>
      <c r="C41" s="177"/>
      <c r="D41" s="177"/>
      <c r="E41" s="177"/>
    </row>
    <row r="42" customFormat="false" ht="24" hidden="false" customHeight="true" outlineLevel="0" collapsed="false">
      <c r="A42" s="170" t="s">
        <v>761</v>
      </c>
      <c r="B42" s="178" t="s">
        <v>790</v>
      </c>
      <c r="C42" s="178"/>
      <c r="D42" s="178"/>
      <c r="E42" s="178"/>
    </row>
    <row r="43" customFormat="false" ht="9.75" hidden="false" customHeight="true" outlineLevel="0" collapsed="false"/>
    <row r="44" customFormat="false" ht="19.5" hidden="false" customHeight="true" outlineLevel="0" collapsed="false">
      <c r="A44" s="99" t="s">
        <v>791</v>
      </c>
      <c r="B44" s="99"/>
      <c r="C44" s="99"/>
      <c r="D44" s="99"/>
      <c r="E44" s="99"/>
    </row>
    <row r="45" customFormat="false" ht="39.75" hidden="false" customHeight="true" outlineLevel="0" collapsed="false">
      <c r="A45" s="12" t="s">
        <v>751</v>
      </c>
      <c r="B45" s="177" t="s">
        <v>792</v>
      </c>
      <c r="C45" s="177"/>
      <c r="D45" s="177"/>
      <c r="E45" s="177"/>
    </row>
    <row r="46" customFormat="false" ht="24" hidden="false" customHeight="true" outlineLevel="0" collapsed="false">
      <c r="A46" s="170" t="s">
        <v>753</v>
      </c>
      <c r="B46" s="178" t="s">
        <v>793</v>
      </c>
      <c r="C46" s="178"/>
      <c r="D46" s="178"/>
      <c r="E46" s="178"/>
    </row>
    <row r="47" customFormat="false" ht="24" hidden="false" customHeight="true" outlineLevel="0" collapsed="false">
      <c r="A47" s="172" t="s">
        <v>755</v>
      </c>
      <c r="B47" s="177" t="s">
        <v>794</v>
      </c>
      <c r="C47" s="177"/>
      <c r="D47" s="177"/>
      <c r="E47" s="177"/>
    </row>
    <row r="48" customFormat="false" ht="24" hidden="false" customHeight="true" outlineLevel="0" collapsed="false">
      <c r="A48" s="170" t="s">
        <v>757</v>
      </c>
      <c r="B48" s="178" t="s">
        <v>795</v>
      </c>
      <c r="C48" s="178"/>
      <c r="D48" s="178"/>
      <c r="E48" s="178"/>
    </row>
    <row r="49" customFormat="false" ht="24" hidden="false" customHeight="true" outlineLevel="0" collapsed="false">
      <c r="A49" s="172" t="s">
        <v>759</v>
      </c>
      <c r="B49" s="177" t="s">
        <v>796</v>
      </c>
      <c r="C49" s="177"/>
      <c r="D49" s="177"/>
      <c r="E49" s="177"/>
    </row>
    <row r="50" customFormat="false" ht="24" hidden="false" customHeight="true" outlineLevel="0" collapsed="false">
      <c r="A50" s="170" t="s">
        <v>761</v>
      </c>
      <c r="B50" s="178" t="s">
        <v>797</v>
      </c>
      <c r="C50" s="178"/>
      <c r="D50" s="178"/>
      <c r="E50" s="178"/>
    </row>
  </sheetData>
  <mergeCells count="43">
    <mergeCell ref="A1:E1"/>
    <mergeCell ref="A4:E4"/>
    <mergeCell ref="B5:E5"/>
    <mergeCell ref="B6:E6"/>
    <mergeCell ref="B7:E7"/>
    <mergeCell ref="B8:E8"/>
    <mergeCell ref="B9:E9"/>
    <mergeCell ref="B10:E10"/>
    <mergeCell ref="A12:E12"/>
    <mergeCell ref="B13:E13"/>
    <mergeCell ref="B14:E14"/>
    <mergeCell ref="B15:E15"/>
    <mergeCell ref="B16:E16"/>
    <mergeCell ref="B17:E17"/>
    <mergeCell ref="B18:E18"/>
    <mergeCell ref="A20:E20"/>
    <mergeCell ref="B21:E21"/>
    <mergeCell ref="B22:E22"/>
    <mergeCell ref="B23:E23"/>
    <mergeCell ref="B24:E24"/>
    <mergeCell ref="B25:E25"/>
    <mergeCell ref="B26:E26"/>
    <mergeCell ref="A28:E28"/>
    <mergeCell ref="B29:E29"/>
    <mergeCell ref="B30:E30"/>
    <mergeCell ref="B31:E31"/>
    <mergeCell ref="B32:E32"/>
    <mergeCell ref="B33:E33"/>
    <mergeCell ref="B34:E34"/>
    <mergeCell ref="A36:E36"/>
    <mergeCell ref="B37:E37"/>
    <mergeCell ref="B38:E38"/>
    <mergeCell ref="B39:E39"/>
    <mergeCell ref="B40:E40"/>
    <mergeCell ref="B41:E41"/>
    <mergeCell ref="B42:E42"/>
    <mergeCell ref="A44:E44"/>
    <mergeCell ref="B45:E45"/>
    <mergeCell ref="B46:E46"/>
    <mergeCell ref="B47:E47"/>
    <mergeCell ref="B48:E48"/>
    <mergeCell ref="B49:E49"/>
    <mergeCell ref="B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2026-07-08T00:58:13Z</dcterms:created>
  <dc:creator>openpyxl</dc:creator>
  <dc:description/>
  <dc:language>en-US</dc:language>
  <cp:lastModifiedBy/>
  <dcterms:modified xsi:type="dcterms:W3CDTF">2026-07-08T00:58:13Z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