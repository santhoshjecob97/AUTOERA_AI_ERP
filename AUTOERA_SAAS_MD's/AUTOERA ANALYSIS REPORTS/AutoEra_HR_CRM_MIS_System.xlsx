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Recruitment Tracker" sheetId="2" state="visible" r:id="rId4"/>
    <sheet name="Attendance Tracker" sheetId="3" state="visible" r:id="rId5"/>
    <sheet name="Leave Tracker" sheetId="4" state="visible" r:id="rId6"/>
    <sheet name="Attrition Tracker" sheetId="5" state="visible" r:id="rId7"/>
    <sheet name="Training Tracker" sheetId="6" state="visible" r:id="rId8"/>
    <sheet name="Vendor &amp; Asset Tracker" sheetId="7" state="visible" r:id="rId9"/>
    <sheet name="HR KPI Dashboard" sheetId="8" state="visible" r:id="rId10"/>
    <sheet name="Management Dashboard (MRM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<sst xmlns="http://schemas.openxmlformats.org/spreadsheetml/2006/main" count="408" uniqueCount="276">
  <si>
    <t xml:space="preserve">EMPLOYEE MASTER</t>
  </si>
  <si>
    <t xml:space="preserve">Single source of truth — all departments | AutoEra Dealership HR System</t>
  </si>
  <si>
    <t xml:space="preserve">Emp ID</t>
  </si>
  <si>
    <t xml:space="preserve">Full Name</t>
  </si>
  <si>
    <t xml:space="preserve">Department</t>
  </si>
  <si>
    <t xml:space="preserve">Designation</t>
  </si>
  <si>
    <t xml:space="preserve">Reporting Manager</t>
  </si>
  <si>
    <t xml:space="preserve">Date of Joining</t>
  </si>
  <si>
    <t xml:space="preserve">Employment Type</t>
  </si>
  <si>
    <t xml:space="preserve">Location/Branch</t>
  </si>
  <si>
    <t xml:space="preserve">Contact No</t>
  </si>
  <si>
    <t xml:space="preserve">Email</t>
  </si>
  <si>
    <t xml:space="preserve">Date of Birth</t>
  </si>
  <si>
    <t xml:space="preserve">Tenure (Years)</t>
  </si>
  <si>
    <t xml:space="preserve">Status</t>
  </si>
  <si>
    <t xml:space="preserve">CTC (Annual ₹)</t>
  </si>
  <si>
    <t xml:space="preserve">Emergency Contact</t>
  </si>
  <si>
    <t xml:space="preserve">AE-001</t>
  </si>
  <si>
    <t xml:space="preserve">Arun Kumar S</t>
  </si>
  <si>
    <t xml:space="preserve">Sales</t>
  </si>
  <si>
    <t xml:space="preserve">Sales Executive</t>
  </si>
  <si>
    <t xml:space="preserve">Manikandan R</t>
  </si>
  <si>
    <t xml:space="preserve">2023-04-10</t>
  </si>
  <si>
    <t xml:space="preserve">Permanent</t>
  </si>
  <si>
    <t xml:space="preserve">Valasaravakkam</t>
  </si>
  <si>
    <t xml:space="preserve">9840012345</t>
  </si>
  <si>
    <t xml:space="preserve">arun.k@dealer.com</t>
  </si>
  <si>
    <t xml:space="preserve">1994-05-12</t>
  </si>
  <si>
    <t xml:space="preserve">Active</t>
  </si>
  <si>
    <t xml:space="preserve">9840099001</t>
  </si>
  <si>
    <t xml:space="preserve">AE-002</t>
  </si>
  <si>
    <t xml:space="preserve">Priya Venkatesh</t>
  </si>
  <si>
    <t xml:space="preserve">Service</t>
  </si>
  <si>
    <t xml:space="preserve">Service Advisor</t>
  </si>
  <si>
    <t xml:space="preserve">Rajesh N</t>
  </si>
  <si>
    <t xml:space="preserve">2022-11-01</t>
  </si>
  <si>
    <t xml:space="preserve">9840012346</t>
  </si>
  <si>
    <t xml:space="preserve">priya.v@dealer.com</t>
  </si>
  <si>
    <t xml:space="preserve">1996-08-23</t>
  </si>
  <si>
    <t xml:space="preserve">9840099002</t>
  </si>
  <si>
    <t xml:space="preserve">AE-003</t>
  </si>
  <si>
    <t xml:space="preserve">Sales Manager</t>
  </si>
  <si>
    <t xml:space="preserve">GM Sales</t>
  </si>
  <si>
    <t xml:space="preserve">2020-06-15</t>
  </si>
  <si>
    <t xml:space="preserve">9840012347</t>
  </si>
  <si>
    <t xml:space="preserve">mani.r@dealer.com</t>
  </si>
  <si>
    <t xml:space="preserve">1988-02-17</t>
  </si>
  <si>
    <t xml:space="preserve">9840099003</t>
  </si>
  <si>
    <t xml:space="preserve">AE-004</t>
  </si>
  <si>
    <t xml:space="preserve">Suresh Babu</t>
  </si>
  <si>
    <t xml:space="preserve">Bodyshop</t>
  </si>
  <si>
    <t xml:space="preserve">Painter</t>
  </si>
  <si>
    <t xml:space="preserve">2021-09-20</t>
  </si>
  <si>
    <t xml:space="preserve">9840012348</t>
  </si>
  <si>
    <t xml:space="preserve">suresh.b@dealer.com</t>
  </si>
  <si>
    <t xml:space="preserve">1991-12-01</t>
  </si>
  <si>
    <t xml:space="preserve">9840099004</t>
  </si>
  <si>
    <t xml:space="preserve">AE-005</t>
  </si>
  <si>
    <t xml:space="preserve">Lakshmi Narayanan</t>
  </si>
  <si>
    <t xml:space="preserve">Spare Parts</t>
  </si>
  <si>
    <t xml:space="preserve">Parts Executive</t>
  </si>
  <si>
    <t xml:space="preserve">2023-01-05</t>
  </si>
  <si>
    <t xml:space="preserve">9840012349</t>
  </si>
  <si>
    <t xml:space="preserve">lakshmi.n@dealer.com</t>
  </si>
  <si>
    <t xml:space="preserve">1995-03-30</t>
  </si>
  <si>
    <t xml:space="preserve">9840099005</t>
  </si>
  <si>
    <t xml:space="preserve">AE-006</t>
  </si>
  <si>
    <t xml:space="preserve">Service Manager</t>
  </si>
  <si>
    <t xml:space="preserve">COO</t>
  </si>
  <si>
    <t xml:space="preserve">2019-03-11</t>
  </si>
  <si>
    <t xml:space="preserve">9840012350</t>
  </si>
  <si>
    <t xml:space="preserve">rajesh.n@dealer.com</t>
  </si>
  <si>
    <t xml:space="preserve">1985-07-08</t>
  </si>
  <si>
    <t xml:space="preserve">9840099006</t>
  </si>
  <si>
    <t xml:space="preserve">AE-007</t>
  </si>
  <si>
    <t xml:space="preserve">Divya Shree</t>
  </si>
  <si>
    <t xml:space="preserve">HR &amp; Admin</t>
  </si>
  <si>
    <t xml:space="preserve">HR Generalist</t>
  </si>
  <si>
    <t xml:space="preserve">CEO</t>
  </si>
  <si>
    <t xml:space="preserve">2022-02-14</t>
  </si>
  <si>
    <t xml:space="preserve">9840012351</t>
  </si>
  <si>
    <t xml:space="preserve">divya.s@dealer.com</t>
  </si>
  <si>
    <t xml:space="preserve">1993-10-19</t>
  </si>
  <si>
    <t xml:space="preserve">9840099007</t>
  </si>
  <si>
    <t xml:space="preserve">AE-008</t>
  </si>
  <si>
    <t xml:space="preserve">Karthik Raja</t>
  </si>
  <si>
    <t xml:space="preserve">2024-06-01</t>
  </si>
  <si>
    <t xml:space="preserve">Probation</t>
  </si>
  <si>
    <t xml:space="preserve">9840012352</t>
  </si>
  <si>
    <t xml:space="preserve">karthik.r@dealer.com</t>
  </si>
  <si>
    <t xml:space="preserve">1998-01-25</t>
  </si>
  <si>
    <t xml:space="preserve">9840099008</t>
  </si>
  <si>
    <t xml:space="preserve">AE-009</t>
  </si>
  <si>
    <t xml:space="preserve">Vignesh Kumar</t>
  </si>
  <si>
    <t xml:space="preserve">Technician</t>
  </si>
  <si>
    <t xml:space="preserve">Senior Technician</t>
  </si>
  <si>
    <t xml:space="preserve">2021-01-18</t>
  </si>
  <si>
    <t xml:space="preserve">9840012353</t>
  </si>
  <si>
    <t xml:space="preserve">vignesh.k@dealer.com</t>
  </si>
  <si>
    <t xml:space="preserve">1990-04-14</t>
  </si>
  <si>
    <t xml:space="preserve">Resigned</t>
  </si>
  <si>
    <t xml:space="preserve">9840099009</t>
  </si>
  <si>
    <t xml:space="preserve">AE-010</t>
  </si>
  <si>
    <t xml:space="preserve">Anitha R</t>
  </si>
  <si>
    <t xml:space="preserve">Customer Relationship</t>
  </si>
  <si>
    <t xml:space="preserve">CRM Executive</t>
  </si>
  <si>
    <t xml:space="preserve">2023-08-22</t>
  </si>
  <si>
    <t xml:space="preserve">9840012354</t>
  </si>
  <si>
    <t xml:space="preserve">anitha.r@dealer.com</t>
  </si>
  <si>
    <t xml:space="preserve">1997-06-09</t>
  </si>
  <si>
    <t xml:space="preserve">9840099010</t>
  </si>
  <si>
    <t xml:space="preserve">RECRUITMENT TRACKER</t>
  </si>
  <si>
    <t xml:space="preserve">Hiring funnel, time-to-hire, cost-per-hire</t>
  </si>
  <si>
    <t xml:space="preserve">Req ID</t>
  </si>
  <si>
    <t xml:space="preserve">Position</t>
  </si>
  <si>
    <t xml:space="preserve">Date Opened</t>
  </si>
  <si>
    <t xml:space="preserve">Source</t>
  </si>
  <si>
    <t xml:space="preserve">Candidate Name</t>
  </si>
  <si>
    <t xml:space="preserve">Screening Date</t>
  </si>
  <si>
    <t xml:space="preserve">Interview Date</t>
  </si>
  <si>
    <t xml:space="preserve">Offer Date</t>
  </si>
  <si>
    <t xml:space="preserve">Joining Date</t>
  </si>
  <si>
    <t xml:space="preserve">Time to Hire (Days)</t>
  </si>
  <si>
    <t xml:space="preserve">Recruitment Cost (₹)</t>
  </si>
  <si>
    <t xml:space="preserve">REQ-101</t>
  </si>
  <si>
    <t xml:space="preserve">2026-05-01</t>
  </si>
  <si>
    <t xml:space="preserve">Naukri</t>
  </si>
  <si>
    <t xml:space="preserve">2026-05-04</t>
  </si>
  <si>
    <t xml:space="preserve">2026-05-10</t>
  </si>
  <si>
    <t xml:space="preserve">2026-05-14</t>
  </si>
  <si>
    <t xml:space="preserve">2026-06-01</t>
  </si>
  <si>
    <t xml:space="preserve">4500</t>
  </si>
  <si>
    <t xml:space="preserve">Joined</t>
  </si>
  <si>
    <t xml:space="preserve">REQ-102</t>
  </si>
  <si>
    <t xml:space="preserve">Service Technician</t>
  </si>
  <si>
    <t xml:space="preserve">Referral</t>
  </si>
  <si>
    <t xml:space="preserve">Bala Murugan</t>
  </si>
  <si>
    <t xml:space="preserve">2026-05-12</t>
  </si>
  <si>
    <t xml:space="preserve">2026-05-18</t>
  </si>
  <si>
    <t xml:space="preserve">1500</t>
  </si>
  <si>
    <t xml:space="preserve">Interview Stage</t>
  </si>
  <si>
    <t xml:space="preserve">REQ-103</t>
  </si>
  <si>
    <t xml:space="preserve">Front Office Executive</t>
  </si>
  <si>
    <t xml:space="preserve">2026-05-15</t>
  </si>
  <si>
    <t xml:space="preserve">LinkedIn</t>
  </si>
  <si>
    <t xml:space="preserve">Meena S</t>
  </si>
  <si>
    <t xml:space="preserve">2026-05-20</t>
  </si>
  <si>
    <t xml:space="preserve">3200</t>
  </si>
  <si>
    <t xml:space="preserve">Screening</t>
  </si>
  <si>
    <t xml:space="preserve">REQ-104</t>
  </si>
  <si>
    <t xml:space="preserve">2026-04-20</t>
  </si>
  <si>
    <t xml:space="preserve">Indeed</t>
  </si>
  <si>
    <t xml:space="preserve">Vacant</t>
  </si>
  <si>
    <t xml:space="preserve">0</t>
  </si>
  <si>
    <t xml:space="preserve">Open</t>
  </si>
  <si>
    <t xml:space="preserve">Total Requisitions</t>
  </si>
  <si>
    <t xml:space="preserve">Avg Time to Hire (Days)</t>
  </si>
  <si>
    <t xml:space="preserve">Avg Cost per Hire (₹)</t>
  </si>
  <si>
    <t xml:space="preserve">Offer Acceptance Rate</t>
  </si>
  <si>
    <t xml:space="preserve">ATTENDANCE TRACKER — MONTHLY</t>
  </si>
  <si>
    <t xml:space="preserve">Auto-calculates attendance % per employee</t>
  </si>
  <si>
    <t xml:space="preserve">Name</t>
  </si>
  <si>
    <t xml:space="preserve">Working Days</t>
  </si>
  <si>
    <t xml:space="preserve">Present</t>
  </si>
  <si>
    <t xml:space="preserve">Absent</t>
  </si>
  <si>
    <t xml:space="preserve">Late Arrivals</t>
  </si>
  <si>
    <t xml:space="preserve">On Leave</t>
  </si>
  <si>
    <t xml:space="preserve">Attendance %</t>
  </si>
  <si>
    <t xml:space="preserve">Remarks</t>
  </si>
  <si>
    <t xml:space="preserve">OK</t>
  </si>
  <si>
    <t xml:space="preserve">Excellent</t>
  </si>
  <si>
    <t xml:space="preserve">Review</t>
  </si>
  <si>
    <t xml:space="preserve">LEAVE TRACKER</t>
  </si>
  <si>
    <t xml:space="preserve">Leave balance and utilization by employee</t>
  </si>
  <si>
    <t xml:space="preserve">Leave Type</t>
  </si>
  <si>
    <t xml:space="preserve">Entitled Days</t>
  </si>
  <si>
    <t xml:space="preserve">Availed Days</t>
  </si>
  <si>
    <t xml:space="preserve">Balance Days</t>
  </si>
  <si>
    <t xml:space="preserve">From Date</t>
  </si>
  <si>
    <t xml:space="preserve">To Date</t>
  </si>
  <si>
    <t xml:space="preserve">Approval Status</t>
  </si>
  <si>
    <t xml:space="preserve">Casual Leave</t>
  </si>
  <si>
    <t xml:space="preserve">2026-06-10</t>
  </si>
  <si>
    <t xml:space="preserve">2026-06-11</t>
  </si>
  <si>
    <t xml:space="preserve">Approved</t>
  </si>
  <si>
    <t xml:space="preserve">Sick Leave</t>
  </si>
  <si>
    <t xml:space="preserve">Earned Leave</t>
  </si>
  <si>
    <t xml:space="preserve">2026-04-15</t>
  </si>
  <si>
    <t xml:space="preserve">2026-04-18</t>
  </si>
  <si>
    <t xml:space="preserve">2026-06-25</t>
  </si>
  <si>
    <t xml:space="preserve">Pending</t>
  </si>
  <si>
    <t xml:space="preserve">ATTRITION TRACKER</t>
  </si>
  <si>
    <t xml:space="preserve">Exit analysis and attrition rate calculation</t>
  </si>
  <si>
    <t xml:space="preserve">Date of Exit</t>
  </si>
  <si>
    <t xml:space="preserve">Tenure (Months)</t>
  </si>
  <si>
    <t xml:space="preserve">Exit Reason</t>
  </si>
  <si>
    <t xml:space="preserve">Exit Type</t>
  </si>
  <si>
    <t xml:space="preserve">2026-05-30</t>
  </si>
  <si>
    <t xml:space="preserve">Better Opportunity</t>
  </si>
  <si>
    <t xml:space="preserve">Voluntary</t>
  </si>
  <si>
    <t xml:space="preserve">Total Headcount (avg)</t>
  </si>
  <si>
    <t xml:space="preserve">Exits (period)</t>
  </si>
  <si>
    <t xml:space="preserve">Attrition Rate</t>
  </si>
  <si>
    <t xml:space="preserve">TRAINING &amp; DEVELOPMENT TRACKER</t>
  </si>
  <si>
    <t xml:space="preserve">Track training hours, coverage, and effectiveness</t>
  </si>
  <si>
    <t xml:space="preserve">Training Program</t>
  </si>
  <si>
    <t xml:space="preserve">Trainer</t>
  </si>
  <si>
    <t xml:space="preserve">Date</t>
  </si>
  <si>
    <t xml:space="preserve">Duration (Hrs)</t>
  </si>
  <si>
    <t xml:space="preserve">Score/Feedback</t>
  </si>
  <si>
    <t xml:space="preserve">Consultative Selling</t>
  </si>
  <si>
    <t xml:space="preserve">External Trainer</t>
  </si>
  <si>
    <t xml:space="preserve">2026-04-12</t>
  </si>
  <si>
    <t xml:space="preserve">4.5/5</t>
  </si>
  <si>
    <t xml:space="preserve">Completed</t>
  </si>
  <si>
    <t xml:space="preserve">Customer Handling &amp; CSI</t>
  </si>
  <si>
    <t xml:space="preserve">4.2/5</t>
  </si>
  <si>
    <t xml:space="preserve">Product Knowledge Induction</t>
  </si>
  <si>
    <t xml:space="preserve">2026-06-05</t>
  </si>
  <si>
    <t xml:space="preserve">In Progress</t>
  </si>
  <si>
    <t xml:space="preserve">Total Training Hours</t>
  </si>
  <si>
    <t xml:space="preserve">ADMIN: VENDOR &amp; ASSET REGISTER</t>
  </si>
  <si>
    <t xml:space="preserve">AMC status, vendor scorecard, asset register</t>
  </si>
  <si>
    <t xml:space="preserve">Asset/Vendor ID</t>
  </si>
  <si>
    <t xml:space="preserve">Item/Vendor Name</t>
  </si>
  <si>
    <t xml:space="preserve">Category</t>
  </si>
  <si>
    <t xml:space="preserve">Location</t>
  </si>
  <si>
    <t xml:space="preserve">Purchase/Contract Date</t>
  </si>
  <si>
    <t xml:space="preserve">AMC Expiry Date</t>
  </si>
  <si>
    <t xml:space="preserve">Vendor Rating (1-5)</t>
  </si>
  <si>
    <t xml:space="preserve">Cost (₹)</t>
  </si>
  <si>
    <t xml:space="preserve">AST-001</t>
  </si>
  <si>
    <t xml:space="preserve">Diagnostic Scanner (Bay 2)</t>
  </si>
  <si>
    <t xml:space="preserve">Equipment</t>
  </si>
  <si>
    <t xml:space="preserve">Service Bay</t>
  </si>
  <si>
    <t xml:space="preserve">2023-02-10</t>
  </si>
  <si>
    <t xml:space="preserve">2026-08-10</t>
  </si>
  <si>
    <t xml:space="preserve">AST-002</t>
  </si>
  <si>
    <t xml:space="preserve">Office AC Units (x6)</t>
  </si>
  <si>
    <t xml:space="preserve">Facility</t>
  </si>
  <si>
    <t xml:space="preserve">Showroom</t>
  </si>
  <si>
    <t xml:space="preserve">2022-05-01</t>
  </si>
  <si>
    <t xml:space="preserve">Renewal Due</t>
  </si>
  <si>
    <t xml:space="preserve">VND-001</t>
  </si>
  <si>
    <t xml:space="preserve">Housekeeping Vendor - CleanPro</t>
  </si>
  <si>
    <t xml:space="preserve">Housekeeping</t>
  </si>
  <si>
    <t xml:space="preserve">All Branches</t>
  </si>
  <si>
    <t xml:space="preserve">2024-01-01</t>
  </si>
  <si>
    <t xml:space="preserve">2026-12-31</t>
  </si>
  <si>
    <t xml:space="preserve">VND-002</t>
  </si>
  <si>
    <t xml:space="preserve">Security Agency - SecureGuard</t>
  </si>
  <si>
    <t xml:space="preserve">Security</t>
  </si>
  <si>
    <t xml:space="preserve">2023-06-01</t>
  </si>
  <si>
    <t xml:space="preserve">AST-003</t>
  </si>
  <si>
    <t xml:space="preserve">Company Vehicle - Delivery Van</t>
  </si>
  <si>
    <t xml:space="preserve">Vehicle</t>
  </si>
  <si>
    <t xml:space="preserve">2021-09-15</t>
  </si>
  <si>
    <t xml:space="preserve">2026-09-15</t>
  </si>
  <si>
    <t xml:space="preserve">HR KPI DASHBOARD</t>
  </si>
  <si>
    <t xml:space="preserve">Live metrics pulled from source sheets — refresh via Ctrl+Alt+F9</t>
  </si>
  <si>
    <t xml:space="preserve">Total Headcount</t>
  </si>
  <si>
    <t xml:space="preserve">Total Training Hours (MTD)</t>
  </si>
  <si>
    <t xml:space="preserve">Open Positions</t>
  </si>
  <si>
    <t xml:space="preserve">Avg Attendance %</t>
  </si>
  <si>
    <t xml:space="preserve">Headcount</t>
  </si>
  <si>
    <t xml:space="preserve">MONTHLY MANAGEMENT REVIEW — MRM</t>
  </si>
  <si>
    <t xml:space="preserve">Executive summary for CEO/COO review</t>
  </si>
  <si>
    <t xml:space="preserve">Metric</t>
  </si>
  <si>
    <t xml:space="preserve">Value</t>
  </si>
  <si>
    <t xml:space="preserve">Headcount (Active)</t>
  </si>
  <si>
    <t xml:space="preserve">Executive Notes &amp; Action Plan</t>
  </si>
  <si>
    <t xml:space="preserve">1. Risk Area: Bodyshop attendance trending low — schedule 1:1 with Suresh Babu.</t>
  </si>
  <si>
    <t xml:space="preserve">2. Recruitment: 1 open position (Parts Executive) pending 40+ days — escalate sourcing channel.</t>
  </si>
  <si>
    <t xml:space="preserve">3. Training: Product induction pending for new joiner Karthik Raja — complete by next review.</t>
  </si>
  <si>
    <t xml:space="preserve">4. Attrition: 1 voluntary exit (Technician) this period — exit interview insights to be logged.</t>
  </si>
  <si>
    <t xml:space="preserve">5. AI Recommendation: Automate attendance sync from biometric device to eliminate manual entry errors.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</si>
</sst>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General"/>
    <numFmt numFmtId="167" formatCode="0.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374151"/>
      <name val="Calibri"/>
      <family val="0"/>
      <charset val="1"/>
    </font>
    <font>
      <b val="true"/>
      <sz val="20"/>
      <color rgb="FF1F293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5E7EB"/>
      <rgbColor rgb="FFF9F9F9"/>
      <rgbColor rgb="FF99CCFF"/>
      <rgbColor rgb="FFFF99CC"/>
      <rgbColor rgb="FFCC99FF"/>
      <rgbColor rgb="FFFEE2E2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'HR KPI Dashboard'!B13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KPI Dashboard'!$A$14:$A$20</c:f>
              <c:strCache>
                <c:ptCount val="7"/>
                <c:pt idx="0">
                  <c:v>Sales</c:v>
                </c:pt>
                <c:pt idx="1">
                  <c:v>Service</c:v>
                </c:pt>
                <c:pt idx="2">
                  <c:v>Bodyshop</c:v>
                </c:pt>
                <c:pt idx="3">
                  <c:v>Spare Parts</c:v>
                </c:pt>
                <c:pt idx="4">
                  <c:v>HR &amp; Admin</c:v>
                </c:pt>
                <c:pt idx="5">
                  <c:v>Technician</c:v>
                </c:pt>
                <c:pt idx="6">
                  <c:v>Customer Relationship</c:v>
                </c:pt>
              </c:strCache>
            </c:strRef>
          </c:cat>
          <c:val>
            <c:numRef>
              <c:f>'HR KPI Dashboard'!$B$14:$B$20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81768588"/>
        <c:axId val="71752849"/>
      </c:barChart>
      <c:catAx>
        <c:axId val="81768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52849"/>
        <c:crosses val="autoZero"/>
        <c:auto val="1"/>
        <c:lblAlgn val="ctr"/>
        <c:lblOffset val="100"/>
        <c:noMultiLvlLbl val="0"/>
      </c:catAx>
      <c:valAx>
        <c:axId val="71752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85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0</xdr:rowOff>
    </xdr:from>
    <xdr:to>
      <xdr:col>6</xdr:col>
      <xdr:colOff>1107360</xdr:colOff>
      <xdr:row>27</xdr:row>
      <xdr:rowOff>22320</xdr:rowOff>
    </xdr:to>
    <xdr:graphicFrame>
      <xdr:nvGraphicFramePr>
        <xdr:cNvPr id="0" name="Chart 1"/>
        <xdr:cNvGraphicFramePr/>
      </xdr:nvGraphicFramePr>
      <xdr:xfrm>
        <a:off x="465192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tr">
        <f aca="true">DATEDIF(F4,TODAY(),"y")&amp;" yrs "&amp;DATEDIF(F4,TODAY(),"ym")&amp;" mo"</f>
        <v>3 yrs 2 mo</v>
      </c>
      <c r="M4" s="4" t="s">
        <v>28</v>
      </c>
      <c r="N4" s="5" t="n">
        <v>360000</v>
      </c>
      <c r="O4" s="4" t="s">
        <v>29</v>
      </c>
    </row>
    <row r="5" customFormat="false" ht="15" hidden="false" customHeight="false" outlineLevel="0" collapsed="false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23</v>
      </c>
      <c r="H5" s="4" t="s">
        <v>24</v>
      </c>
      <c r="I5" s="4" t="s">
        <v>36</v>
      </c>
      <c r="J5" s="4" t="s">
        <v>37</v>
      </c>
      <c r="K5" s="4" t="s">
        <v>38</v>
      </c>
      <c r="L5" s="4" t="str">
        <f aca="true">DATEDIF(F5,TODAY(),"y")&amp;" yrs "&amp;DATEDIF(F5,TODAY(),"ym")&amp;" mo"</f>
        <v>3 yrs 8 mo</v>
      </c>
      <c r="M5" s="4" t="s">
        <v>28</v>
      </c>
      <c r="N5" s="5" t="n">
        <v>384000</v>
      </c>
      <c r="O5" s="4" t="s">
        <v>39</v>
      </c>
    </row>
    <row r="6" customFormat="false" ht="15" hidden="false" customHeight="false" outlineLevel="0" collapsed="false">
      <c r="A6" s="4" t="s">
        <v>40</v>
      </c>
      <c r="B6" s="4" t="s">
        <v>21</v>
      </c>
      <c r="C6" s="4" t="s">
        <v>19</v>
      </c>
      <c r="D6" s="4" t="s">
        <v>41</v>
      </c>
      <c r="E6" s="4" t="s">
        <v>42</v>
      </c>
      <c r="F6" s="4" t="s">
        <v>43</v>
      </c>
      <c r="G6" s="4" t="s">
        <v>23</v>
      </c>
      <c r="H6" s="4" t="s">
        <v>24</v>
      </c>
      <c r="I6" s="4" t="s">
        <v>44</v>
      </c>
      <c r="J6" s="4" t="s">
        <v>45</v>
      </c>
      <c r="K6" s="4" t="s">
        <v>46</v>
      </c>
      <c r="L6" s="4" t="str">
        <f aca="true">DATEDIF(F6,TODAY(),"y")&amp;" yrs "&amp;DATEDIF(F6,TODAY(),"ym")&amp;" mo"</f>
        <v>6 yrs 0 mo</v>
      </c>
      <c r="M6" s="4" t="s">
        <v>28</v>
      </c>
      <c r="N6" s="5" t="n">
        <v>720000</v>
      </c>
      <c r="O6" s="4" t="s">
        <v>47</v>
      </c>
    </row>
    <row r="7" customFormat="false" ht="15" hidden="false" customHeight="false" outlineLevel="0" collapsed="false">
      <c r="A7" s="4" t="s">
        <v>48</v>
      </c>
      <c r="B7" s="4" t="s">
        <v>49</v>
      </c>
      <c r="C7" s="4" t="s">
        <v>50</v>
      </c>
      <c r="D7" s="4" t="s">
        <v>51</v>
      </c>
      <c r="E7" s="4" t="s">
        <v>34</v>
      </c>
      <c r="F7" s="4" t="s">
        <v>52</v>
      </c>
      <c r="G7" s="4" t="s">
        <v>23</v>
      </c>
      <c r="H7" s="4" t="s">
        <v>24</v>
      </c>
      <c r="I7" s="4" t="s">
        <v>53</v>
      </c>
      <c r="J7" s="4" t="s">
        <v>54</v>
      </c>
      <c r="K7" s="4" t="s">
        <v>55</v>
      </c>
      <c r="L7" s="4" t="str">
        <f aca="true">DATEDIF(F7,TODAY(),"y")&amp;" yrs "&amp;DATEDIF(F7,TODAY(),"ym")&amp;" mo"</f>
        <v>4 yrs 9 mo</v>
      </c>
      <c r="M7" s="4" t="s">
        <v>28</v>
      </c>
      <c r="N7" s="5" t="n">
        <v>300000</v>
      </c>
      <c r="O7" s="4" t="s">
        <v>56</v>
      </c>
    </row>
    <row r="8" customFormat="false" ht="15" hidden="false" customHeight="false" outlineLevel="0" collapsed="false">
      <c r="A8" s="4" t="s">
        <v>57</v>
      </c>
      <c r="B8" s="4" t="s">
        <v>58</v>
      </c>
      <c r="C8" s="4" t="s">
        <v>59</v>
      </c>
      <c r="D8" s="4" t="s">
        <v>60</v>
      </c>
      <c r="E8" s="4" t="s">
        <v>34</v>
      </c>
      <c r="F8" s="4" t="s">
        <v>61</v>
      </c>
      <c r="G8" s="4" t="s">
        <v>23</v>
      </c>
      <c r="H8" s="4" t="s">
        <v>24</v>
      </c>
      <c r="I8" s="4" t="s">
        <v>62</v>
      </c>
      <c r="J8" s="4" t="s">
        <v>63</v>
      </c>
      <c r="K8" s="4" t="s">
        <v>64</v>
      </c>
      <c r="L8" s="4" t="str">
        <f aca="true">DATEDIF(F8,TODAY(),"y")&amp;" yrs "&amp;DATEDIF(F8,TODAY(),"ym")&amp;" mo"</f>
        <v>3 yrs 5 mo</v>
      </c>
      <c r="M8" s="4" t="s">
        <v>28</v>
      </c>
      <c r="N8" s="5" t="n">
        <v>288000</v>
      </c>
      <c r="O8" s="4" t="s">
        <v>65</v>
      </c>
    </row>
    <row r="9" customFormat="false" ht="15" hidden="false" customHeight="false" outlineLevel="0" collapsed="false">
      <c r="A9" s="4" t="s">
        <v>66</v>
      </c>
      <c r="B9" s="4" t="s">
        <v>34</v>
      </c>
      <c r="C9" s="4" t="s">
        <v>32</v>
      </c>
      <c r="D9" s="4" t="s">
        <v>67</v>
      </c>
      <c r="E9" s="4" t="s">
        <v>68</v>
      </c>
      <c r="F9" s="4" t="s">
        <v>69</v>
      </c>
      <c r="G9" s="4" t="s">
        <v>23</v>
      </c>
      <c r="H9" s="4" t="s">
        <v>24</v>
      </c>
      <c r="I9" s="4" t="s">
        <v>70</v>
      </c>
      <c r="J9" s="4" t="s">
        <v>71</v>
      </c>
      <c r="K9" s="4" t="s">
        <v>72</v>
      </c>
      <c r="L9" s="4" t="str">
        <f aca="true">DATEDIF(F9,TODAY(),"y")&amp;" yrs "&amp;DATEDIF(F9,TODAY(),"ym")&amp;" mo"</f>
        <v>7 yrs 3 mo</v>
      </c>
      <c r="M9" s="4" t="s">
        <v>28</v>
      </c>
      <c r="N9" s="5" t="n">
        <v>840000</v>
      </c>
      <c r="O9" s="4" t="s">
        <v>73</v>
      </c>
    </row>
    <row r="10" customFormat="false" ht="15" hidden="false" customHeight="false" outlineLevel="0" collapsed="false">
      <c r="A10" s="4" t="s">
        <v>74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23</v>
      </c>
      <c r="H10" s="4" t="s">
        <v>24</v>
      </c>
      <c r="I10" s="4" t="s">
        <v>80</v>
      </c>
      <c r="J10" s="4" t="s">
        <v>81</v>
      </c>
      <c r="K10" s="4" t="s">
        <v>82</v>
      </c>
      <c r="L10" s="4" t="str">
        <f aca="true">DATEDIF(F10,TODAY(),"y")&amp;" yrs "&amp;DATEDIF(F10,TODAY(),"ym")&amp;" mo"</f>
        <v>4 yrs 4 mo</v>
      </c>
      <c r="M10" s="4" t="s">
        <v>28</v>
      </c>
      <c r="N10" s="5" t="n">
        <v>420000</v>
      </c>
      <c r="O10" s="4" t="s">
        <v>83</v>
      </c>
    </row>
    <row r="11" customFormat="false" ht="15" hidden="false" customHeight="false" outlineLevel="0" collapsed="false">
      <c r="A11" s="4" t="s">
        <v>84</v>
      </c>
      <c r="B11" s="4" t="s">
        <v>85</v>
      </c>
      <c r="C11" s="4" t="s">
        <v>19</v>
      </c>
      <c r="D11" s="4" t="s">
        <v>20</v>
      </c>
      <c r="E11" s="4" t="s">
        <v>21</v>
      </c>
      <c r="F11" s="4" t="s">
        <v>86</v>
      </c>
      <c r="G11" s="4" t="s">
        <v>87</v>
      </c>
      <c r="H11" s="4" t="s">
        <v>24</v>
      </c>
      <c r="I11" s="4" t="s">
        <v>88</v>
      </c>
      <c r="J11" s="4" t="s">
        <v>89</v>
      </c>
      <c r="K11" s="4" t="s">
        <v>90</v>
      </c>
      <c r="L11" s="4" t="str">
        <f aca="true">DATEDIF(F11,TODAY(),"y")&amp;" yrs "&amp;DATEDIF(F11,TODAY(),"ym")&amp;" mo"</f>
        <v>2 yrs 1 mo</v>
      </c>
      <c r="M11" s="4" t="s">
        <v>28</v>
      </c>
      <c r="N11" s="5" t="n">
        <v>300000</v>
      </c>
      <c r="O11" s="4" t="s">
        <v>91</v>
      </c>
    </row>
    <row r="12" customFormat="false" ht="15" hidden="false" customHeight="false" outlineLevel="0" collapsed="false">
      <c r="A12" s="4" t="s">
        <v>92</v>
      </c>
      <c r="B12" s="4" t="s">
        <v>93</v>
      </c>
      <c r="C12" s="4" t="s">
        <v>94</v>
      </c>
      <c r="D12" s="4" t="s">
        <v>95</v>
      </c>
      <c r="E12" s="4" t="s">
        <v>34</v>
      </c>
      <c r="F12" s="4" t="s">
        <v>96</v>
      </c>
      <c r="G12" s="4" t="s">
        <v>23</v>
      </c>
      <c r="H12" s="4" t="s">
        <v>24</v>
      </c>
      <c r="I12" s="4" t="s">
        <v>97</v>
      </c>
      <c r="J12" s="4" t="s">
        <v>98</v>
      </c>
      <c r="K12" s="4" t="s">
        <v>99</v>
      </c>
      <c r="L12" s="4" t="str">
        <f aca="true">DATEDIF(F12,TODAY(),"y")&amp;" yrs "&amp;DATEDIF(F12,TODAY(),"ym")&amp;" mo"</f>
        <v>5 yrs 5 mo</v>
      </c>
      <c r="M12" s="4" t="s">
        <v>100</v>
      </c>
      <c r="N12" s="5" t="n">
        <v>336000</v>
      </c>
      <c r="O12" s="4" t="s">
        <v>101</v>
      </c>
    </row>
    <row r="13" customFormat="false" ht="15" hidden="false" customHeight="false" outlineLevel="0" collapsed="false">
      <c r="A13" s="4" t="s">
        <v>102</v>
      </c>
      <c r="B13" s="4" t="s">
        <v>103</v>
      </c>
      <c r="C13" s="4" t="s">
        <v>104</v>
      </c>
      <c r="D13" s="4" t="s">
        <v>105</v>
      </c>
      <c r="E13" s="4" t="s">
        <v>75</v>
      </c>
      <c r="F13" s="4" t="s">
        <v>106</v>
      </c>
      <c r="G13" s="4" t="s">
        <v>23</v>
      </c>
      <c r="H13" s="4" t="s">
        <v>24</v>
      </c>
      <c r="I13" s="4" t="s">
        <v>107</v>
      </c>
      <c r="J13" s="4" t="s">
        <v>108</v>
      </c>
      <c r="K13" s="4" t="s">
        <v>109</v>
      </c>
      <c r="L13" s="4" t="str">
        <f aca="true">DATEDIF(F13,TODAY(),"y")&amp;" yrs "&amp;DATEDIF(F13,TODAY(),"ym")&amp;" mo"</f>
        <v>2 yrs 10 mo</v>
      </c>
      <c r="M13" s="4" t="s">
        <v>28</v>
      </c>
      <c r="N13" s="5" t="n">
        <v>288000</v>
      </c>
      <c r="O13" s="4" t="s">
        <v>110</v>
      </c>
    </row>
  </sheetData>
  <mergeCells count="2">
    <mergeCell ref="A1:O1"/>
    <mergeCell ref="A2:O2"/>
  </mergeCells>
  <conditionalFormatting sqref="M4:M13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"Resigned"</formula>
    </cfRule>
  </conditionalFormatting>
  <dataValidations count="2">
    <dataValidation allowBlank="true" errorStyle="stop" operator="between" showDropDown="false" showErrorMessage="false" showInputMessage="false" sqref="M4:M500" type="list">
      <formula1>"Active,Resigned,Terminated,On Notice"</formula1>
      <formula2>0</formula2>
    </dataValidation>
    <dataValidation allowBlank="true" errorStyle="stop" operator="between" showDropDown="false" showErrorMessage="false" showInputMessage="false" sqref="G4:G500" type="list">
      <formula1>"Permanent,Probation,Contract,Intern"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3" min="12" style="0" width="16"/>
  </cols>
  <sheetData>
    <row r="1" customFormat="false" ht="30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3" t="s">
        <v>113</v>
      </c>
      <c r="B3" s="3" t="s">
        <v>114</v>
      </c>
      <c r="C3" s="3" t="s">
        <v>4</v>
      </c>
      <c r="D3" s="3" t="s">
        <v>115</v>
      </c>
      <c r="E3" s="3" t="s">
        <v>116</v>
      </c>
      <c r="F3" s="3" t="s">
        <v>117</v>
      </c>
      <c r="G3" s="3" t="s">
        <v>118</v>
      </c>
      <c r="H3" s="3" t="s">
        <v>119</v>
      </c>
      <c r="I3" s="3" t="s">
        <v>120</v>
      </c>
      <c r="J3" s="3" t="s">
        <v>121</v>
      </c>
      <c r="K3" s="3" t="s">
        <v>122</v>
      </c>
      <c r="L3" s="3" t="s">
        <v>123</v>
      </c>
      <c r="M3" s="3" t="s">
        <v>14</v>
      </c>
    </row>
    <row r="4" customFormat="false" ht="15" hidden="false" customHeight="false" outlineLevel="0" collapsed="false">
      <c r="A4" s="4" t="s">
        <v>124</v>
      </c>
      <c r="B4" s="4" t="s">
        <v>20</v>
      </c>
      <c r="C4" s="4" t="s">
        <v>19</v>
      </c>
      <c r="D4" s="4" t="s">
        <v>125</v>
      </c>
      <c r="E4" s="4" t="s">
        <v>126</v>
      </c>
      <c r="F4" s="4" t="s">
        <v>85</v>
      </c>
      <c r="G4" s="4" t="s">
        <v>127</v>
      </c>
      <c r="H4" s="4" t="s">
        <v>128</v>
      </c>
      <c r="I4" s="4" t="s">
        <v>129</v>
      </c>
      <c r="J4" s="4" t="s">
        <v>130</v>
      </c>
      <c r="K4" s="4" t="n">
        <f aca="false">IF(J4&lt;&gt;"",J4-D4,"")</f>
        <v>31</v>
      </c>
      <c r="L4" s="4" t="s">
        <v>131</v>
      </c>
      <c r="M4" s="4" t="s">
        <v>132</v>
      </c>
    </row>
    <row r="5" customFormat="false" ht="15" hidden="false" customHeight="false" outlineLevel="0" collapsed="false">
      <c r="A5" s="4" t="s">
        <v>133</v>
      </c>
      <c r="B5" s="4" t="s">
        <v>134</v>
      </c>
      <c r="C5" s="4" t="s">
        <v>32</v>
      </c>
      <c r="D5" s="4" t="s">
        <v>128</v>
      </c>
      <c r="E5" s="4" t="s">
        <v>135</v>
      </c>
      <c r="F5" s="4" t="s">
        <v>136</v>
      </c>
      <c r="G5" s="4" t="s">
        <v>137</v>
      </c>
      <c r="H5" s="4" t="s">
        <v>138</v>
      </c>
      <c r="I5" s="4"/>
      <c r="J5" s="4"/>
      <c r="K5" s="4" t="str">
        <f aca="false">IF(J5&lt;&gt;"",J5-D5,"")</f>
        <v/>
      </c>
      <c r="L5" s="4" t="s">
        <v>139</v>
      </c>
      <c r="M5" s="4" t="s">
        <v>140</v>
      </c>
    </row>
    <row r="6" customFormat="false" ht="15" hidden="false" customHeight="false" outlineLevel="0" collapsed="false">
      <c r="A6" s="4" t="s">
        <v>141</v>
      </c>
      <c r="B6" s="4" t="s">
        <v>142</v>
      </c>
      <c r="C6" s="4" t="s">
        <v>104</v>
      </c>
      <c r="D6" s="4" t="s">
        <v>143</v>
      </c>
      <c r="E6" s="4" t="s">
        <v>144</v>
      </c>
      <c r="F6" s="4" t="s">
        <v>145</v>
      </c>
      <c r="G6" s="4" t="s">
        <v>146</v>
      </c>
      <c r="H6" s="4"/>
      <c r="I6" s="4"/>
      <c r="J6" s="4"/>
      <c r="K6" s="4" t="str">
        <f aca="false">IF(J6&lt;&gt;"",J6-D6,"")</f>
        <v/>
      </c>
      <c r="L6" s="4" t="s">
        <v>147</v>
      </c>
      <c r="M6" s="4" t="s">
        <v>148</v>
      </c>
    </row>
    <row r="7" customFormat="false" ht="15" hidden="false" customHeight="false" outlineLevel="0" collapsed="false">
      <c r="A7" s="4" t="s">
        <v>149</v>
      </c>
      <c r="B7" s="4" t="s">
        <v>60</v>
      </c>
      <c r="C7" s="4" t="s">
        <v>59</v>
      </c>
      <c r="D7" s="4" t="s">
        <v>150</v>
      </c>
      <c r="E7" s="4" t="s">
        <v>151</v>
      </c>
      <c r="F7" s="4" t="s">
        <v>152</v>
      </c>
      <c r="G7" s="4"/>
      <c r="H7" s="4"/>
      <c r="I7" s="4"/>
      <c r="J7" s="4"/>
      <c r="K7" s="4" t="str">
        <f aca="false">IF(J7&lt;&gt;"",J7-D7,"")</f>
        <v/>
      </c>
      <c r="L7" s="4" t="s">
        <v>153</v>
      </c>
      <c r="M7" s="4" t="s">
        <v>154</v>
      </c>
    </row>
    <row r="9" customFormat="false" ht="15" hidden="false" customHeight="false" outlineLevel="0" collapsed="false">
      <c r="A9" s="6" t="s">
        <v>155</v>
      </c>
      <c r="B9" s="7" t="n">
        <f aca="false">COUNTA(A4:A7)</f>
        <v>4</v>
      </c>
    </row>
    <row r="10" customFormat="false" ht="15" hidden="false" customHeight="false" outlineLevel="0" collapsed="false">
      <c r="A10" s="6" t="s">
        <v>132</v>
      </c>
      <c r="B10" s="7" t="n">
        <f aca="false">COUNTIF(M4:M7,"Joined")</f>
        <v>1</v>
      </c>
    </row>
    <row r="11" customFormat="false" ht="15" hidden="false" customHeight="false" outlineLevel="0" collapsed="false">
      <c r="A11" s="6" t="s">
        <v>156</v>
      </c>
      <c r="B11" s="7" t="n">
        <f aca="false">IFERROR(AVERAGE(K4:K7),0)</f>
        <v>31</v>
      </c>
    </row>
    <row r="12" customFormat="false" ht="15" hidden="false" customHeight="false" outlineLevel="0" collapsed="false">
      <c r="A12" s="6" t="s">
        <v>157</v>
      </c>
      <c r="B12" s="7" t="n">
        <f aca="false">IFERROR(SUMIF(M4:M7,"Joined",L4:L7)/COUNTIF(M4:M7,"Joined"),0)</f>
        <v>0</v>
      </c>
    </row>
    <row r="13" customFormat="false" ht="15" hidden="false" customHeight="false" outlineLevel="0" collapsed="false">
      <c r="A13" s="6" t="s">
        <v>158</v>
      </c>
      <c r="B13" s="8" t="n">
        <f aca="false">IFERROR(COUNTIF(M4:M7,"Joined")/COUNTIF(I4:I7,"&lt;&gt;"),0)</f>
        <v>1</v>
      </c>
    </row>
  </sheetData>
  <mergeCells count="2">
    <mergeCell ref="A1:M1"/>
    <mergeCell ref="A2:M2"/>
  </mergeCells>
  <dataValidations count="1">
    <dataValidation allowBlank="true" errorStyle="stop" operator="between" showDropDown="false" showErrorMessage="false" showInputMessage="false" sqref="M4:M500" type="list">
      <formula1>"Open,Screening,Interview Stage,Offer Stage,Joined,Rejected,On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161</v>
      </c>
      <c r="C3" s="3" t="s">
        <v>4</v>
      </c>
      <c r="D3" s="3" t="s">
        <v>162</v>
      </c>
      <c r="E3" s="3" t="s">
        <v>163</v>
      </c>
      <c r="F3" s="3" t="s">
        <v>164</v>
      </c>
      <c r="G3" s="3" t="s">
        <v>165</v>
      </c>
      <c r="H3" s="3" t="s">
        <v>166</v>
      </c>
      <c r="I3" s="3" t="s">
        <v>167</v>
      </c>
      <c r="J3" s="3" t="s">
        <v>168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n">
        <v>26</v>
      </c>
      <c r="E4" s="4" t="n">
        <v>24</v>
      </c>
      <c r="F4" s="4" t="n">
        <v>1</v>
      </c>
      <c r="G4" s="4" t="n">
        <v>2</v>
      </c>
      <c r="H4" s="4" t="n">
        <v>1</v>
      </c>
      <c r="I4" s="9" t="n">
        <f aca="false">E4/D4</f>
        <v>0.923076923076923</v>
      </c>
      <c r="J4" s="4" t="s">
        <v>169</v>
      </c>
    </row>
    <row r="5" customFormat="false" ht="15" hidden="false" customHeight="false" outlineLevel="0" collapsed="false">
      <c r="A5" s="4" t="s">
        <v>30</v>
      </c>
      <c r="B5" s="4" t="s">
        <v>31</v>
      </c>
      <c r="C5" s="4" t="s">
        <v>32</v>
      </c>
      <c r="D5" s="4" t="n">
        <v>26</v>
      </c>
      <c r="E5" s="4" t="n">
        <v>25</v>
      </c>
      <c r="F5" s="4" t="n">
        <v>0</v>
      </c>
      <c r="G5" s="4" t="n">
        <v>1</v>
      </c>
      <c r="H5" s="4" t="n">
        <v>1</v>
      </c>
      <c r="I5" s="9" t="n">
        <f aca="false">E5/D5</f>
        <v>0.961538461538462</v>
      </c>
      <c r="J5" s="4" t="s">
        <v>169</v>
      </c>
    </row>
    <row r="6" customFormat="false" ht="15" hidden="false" customHeight="false" outlineLevel="0" collapsed="false">
      <c r="A6" s="4" t="s">
        <v>40</v>
      </c>
      <c r="B6" s="4" t="s">
        <v>21</v>
      </c>
      <c r="C6" s="4" t="s">
        <v>19</v>
      </c>
      <c r="D6" s="4" t="n">
        <v>26</v>
      </c>
      <c r="E6" s="4" t="n">
        <v>26</v>
      </c>
      <c r="F6" s="4" t="n">
        <v>0</v>
      </c>
      <c r="G6" s="4" t="n">
        <v>0</v>
      </c>
      <c r="H6" s="4" t="n">
        <v>0</v>
      </c>
      <c r="I6" s="9" t="n">
        <f aca="false">E6/D6</f>
        <v>1</v>
      </c>
      <c r="J6" s="4" t="s">
        <v>170</v>
      </c>
    </row>
    <row r="7" customFormat="false" ht="15" hidden="false" customHeight="false" outlineLevel="0" collapsed="false">
      <c r="A7" s="4" t="s">
        <v>48</v>
      </c>
      <c r="B7" s="4" t="s">
        <v>49</v>
      </c>
      <c r="C7" s="4" t="s">
        <v>50</v>
      </c>
      <c r="D7" s="4" t="n">
        <v>26</v>
      </c>
      <c r="E7" s="4" t="n">
        <v>22</v>
      </c>
      <c r="F7" s="4" t="n">
        <v>2</v>
      </c>
      <c r="G7" s="4" t="n">
        <v>3</v>
      </c>
      <c r="H7" s="4" t="n">
        <v>2</v>
      </c>
      <c r="I7" s="9" t="n">
        <f aca="false">E7/D7</f>
        <v>0.846153846153846</v>
      </c>
      <c r="J7" s="4" t="s">
        <v>171</v>
      </c>
    </row>
    <row r="8" customFormat="false" ht="15" hidden="false" customHeight="false" outlineLevel="0" collapsed="false">
      <c r="A8" s="4" t="s">
        <v>57</v>
      </c>
      <c r="B8" s="4" t="s">
        <v>58</v>
      </c>
      <c r="C8" s="4" t="s">
        <v>59</v>
      </c>
      <c r="D8" s="4" t="n">
        <v>26</v>
      </c>
      <c r="E8" s="4" t="n">
        <v>25</v>
      </c>
      <c r="F8" s="4" t="n">
        <v>1</v>
      </c>
      <c r="G8" s="4" t="n">
        <v>0</v>
      </c>
      <c r="H8" s="4" t="n">
        <v>0</v>
      </c>
      <c r="I8" s="9" t="n">
        <f aca="false">E8/D8</f>
        <v>0.961538461538462</v>
      </c>
      <c r="J8" s="4" t="s">
        <v>169</v>
      </c>
    </row>
  </sheetData>
  <mergeCells count="2">
    <mergeCell ref="A1:J1"/>
    <mergeCell ref="A2:J2"/>
  </mergeCells>
  <conditionalFormatting sqref="I4:I8">
    <cfRule type="colorScale" priority="2">
      <colorScale>
        <cfvo type="min" val="0"/>
        <cfvo type="percentile" val="50"/>
        <cfvo type="max" val="0"/>
        <color rgb="FFFCA5A5"/>
        <color rgb="FFFEF3C7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13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173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161</v>
      </c>
      <c r="C3" s="3" t="s">
        <v>174</v>
      </c>
      <c r="D3" s="3" t="s">
        <v>175</v>
      </c>
      <c r="E3" s="3" t="s">
        <v>176</v>
      </c>
      <c r="F3" s="3" t="s">
        <v>177</v>
      </c>
      <c r="G3" s="3" t="s">
        <v>178</v>
      </c>
      <c r="H3" s="3" t="s">
        <v>179</v>
      </c>
      <c r="I3" s="3" t="s">
        <v>180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181</v>
      </c>
      <c r="D4" s="4" t="n">
        <v>12</v>
      </c>
      <c r="E4" s="4" t="n">
        <v>3</v>
      </c>
      <c r="F4" s="4" t="n">
        <f aca="false">D4-E4</f>
        <v>9</v>
      </c>
      <c r="G4" s="4" t="s">
        <v>182</v>
      </c>
      <c r="H4" s="4" t="s">
        <v>183</v>
      </c>
      <c r="I4" s="4" t="s">
        <v>184</v>
      </c>
    </row>
    <row r="5" customFormat="false" ht="15" hidden="false" customHeight="false" outlineLevel="0" collapsed="false">
      <c r="A5" s="4" t="s">
        <v>30</v>
      </c>
      <c r="B5" s="4" t="s">
        <v>31</v>
      </c>
      <c r="C5" s="4" t="s">
        <v>185</v>
      </c>
      <c r="D5" s="4" t="n">
        <v>8</v>
      </c>
      <c r="E5" s="4" t="n">
        <v>2</v>
      </c>
      <c r="F5" s="4" t="n">
        <f aca="false">D5-E5</f>
        <v>6</v>
      </c>
      <c r="G5" s="4" t="s">
        <v>146</v>
      </c>
      <c r="H5" s="4" t="s">
        <v>146</v>
      </c>
      <c r="I5" s="4" t="s">
        <v>184</v>
      </c>
    </row>
    <row r="6" customFormat="false" ht="15" hidden="false" customHeight="false" outlineLevel="0" collapsed="false">
      <c r="A6" s="4" t="s">
        <v>48</v>
      </c>
      <c r="B6" s="4" t="s">
        <v>49</v>
      </c>
      <c r="C6" s="4" t="s">
        <v>186</v>
      </c>
      <c r="D6" s="4" t="n">
        <v>15</v>
      </c>
      <c r="E6" s="4" t="n">
        <v>5</v>
      </c>
      <c r="F6" s="4" t="n">
        <f aca="false">D6-E6</f>
        <v>10</v>
      </c>
      <c r="G6" s="4" t="s">
        <v>187</v>
      </c>
      <c r="H6" s="4" t="s">
        <v>188</v>
      </c>
      <c r="I6" s="4" t="s">
        <v>184</v>
      </c>
    </row>
    <row r="7" customFormat="false" ht="15" hidden="false" customHeight="false" outlineLevel="0" collapsed="false">
      <c r="A7" s="4" t="s">
        <v>74</v>
      </c>
      <c r="B7" s="4" t="s">
        <v>75</v>
      </c>
      <c r="C7" s="4" t="s">
        <v>181</v>
      </c>
      <c r="D7" s="4" t="n">
        <v>12</v>
      </c>
      <c r="E7" s="4" t="n">
        <v>1</v>
      </c>
      <c r="F7" s="4" t="n">
        <f aca="false">D7-E7</f>
        <v>11</v>
      </c>
      <c r="G7" s="4" t="s">
        <v>189</v>
      </c>
      <c r="H7" s="4" t="s">
        <v>189</v>
      </c>
      <c r="I7" s="4" t="s">
        <v>190</v>
      </c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I4:I500" type="list">
      <formula1>"Approved,Pending,Rejected"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7" min="5" style="0" width="14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161</v>
      </c>
      <c r="C3" s="3" t="s">
        <v>4</v>
      </c>
      <c r="D3" s="3" t="s">
        <v>5</v>
      </c>
      <c r="E3" s="3" t="s">
        <v>7</v>
      </c>
      <c r="F3" s="3" t="s">
        <v>193</v>
      </c>
      <c r="G3" s="3" t="s">
        <v>194</v>
      </c>
      <c r="H3" s="3" t="s">
        <v>195</v>
      </c>
      <c r="I3" s="3" t="s">
        <v>196</v>
      </c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197</v>
      </c>
      <c r="G4" s="4" t="n">
        <f aca="false">DATEDIF(E4,F4,"m")</f>
        <v>64</v>
      </c>
      <c r="H4" s="4" t="s">
        <v>198</v>
      </c>
      <c r="I4" s="4" t="s">
        <v>199</v>
      </c>
    </row>
    <row r="6" customFormat="false" ht="15" hidden="false" customHeight="false" outlineLevel="0" collapsed="false">
      <c r="A6" s="6" t="s">
        <v>200</v>
      </c>
      <c r="B6" s="7" t="n">
        <f aca="false">COUNTA('Employee Master'!A4:A13)</f>
        <v>10</v>
      </c>
    </row>
    <row r="7" customFormat="false" ht="15" hidden="false" customHeight="false" outlineLevel="0" collapsed="false">
      <c r="A7" s="6" t="s">
        <v>201</v>
      </c>
      <c r="B7" s="7" t="n">
        <f aca="false">COUNTA(A4:A4)</f>
        <v>1</v>
      </c>
    </row>
    <row r="8" customFormat="false" ht="15" hidden="false" customHeight="false" outlineLevel="0" collapsed="false">
      <c r="A8" s="6" t="s">
        <v>202</v>
      </c>
      <c r="B8" s="8" t="n">
        <f aca="false">B7/B6</f>
        <v>0.1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 t="s">
        <v>161</v>
      </c>
      <c r="C3" s="3" t="s">
        <v>205</v>
      </c>
      <c r="D3" s="3" t="s">
        <v>206</v>
      </c>
      <c r="E3" s="3" t="s">
        <v>207</v>
      </c>
      <c r="F3" s="3" t="s">
        <v>208</v>
      </c>
      <c r="G3" s="3" t="s">
        <v>209</v>
      </c>
      <c r="H3" s="3" t="s">
        <v>14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210</v>
      </c>
      <c r="D4" s="4" t="s">
        <v>211</v>
      </c>
      <c r="E4" s="4" t="s">
        <v>212</v>
      </c>
      <c r="F4" s="4" t="n">
        <v>4</v>
      </c>
      <c r="G4" s="4" t="s">
        <v>213</v>
      </c>
      <c r="H4" s="4" t="s">
        <v>214</v>
      </c>
    </row>
    <row r="5" customFormat="false" ht="15" hidden="false" customHeight="false" outlineLevel="0" collapsed="false">
      <c r="A5" s="4" t="s">
        <v>30</v>
      </c>
      <c r="B5" s="4" t="s">
        <v>31</v>
      </c>
      <c r="C5" s="4" t="s">
        <v>215</v>
      </c>
      <c r="D5" s="4" t="s">
        <v>34</v>
      </c>
      <c r="E5" s="4" t="s">
        <v>150</v>
      </c>
      <c r="F5" s="4" t="n">
        <v>3</v>
      </c>
      <c r="G5" s="4" t="s">
        <v>216</v>
      </c>
      <c r="H5" s="4" t="s">
        <v>214</v>
      </c>
    </row>
    <row r="6" customFormat="false" ht="15" hidden="false" customHeight="false" outlineLevel="0" collapsed="false">
      <c r="A6" s="4" t="s">
        <v>84</v>
      </c>
      <c r="B6" s="4" t="s">
        <v>85</v>
      </c>
      <c r="C6" s="4" t="s">
        <v>217</v>
      </c>
      <c r="D6" s="4" t="s">
        <v>21</v>
      </c>
      <c r="E6" s="4" t="s">
        <v>218</v>
      </c>
      <c r="F6" s="4" t="n">
        <v>6</v>
      </c>
      <c r="G6" s="4" t="s">
        <v>190</v>
      </c>
      <c r="H6" s="4" t="s">
        <v>219</v>
      </c>
    </row>
    <row r="8" customFormat="false" ht="15" hidden="false" customHeight="false" outlineLevel="0" collapsed="false">
      <c r="A8" s="6" t="s">
        <v>220</v>
      </c>
      <c r="B8" s="7" t="n">
        <f aca="false">SUM(F4:F6)</f>
        <v>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222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223</v>
      </c>
      <c r="B3" s="3" t="s">
        <v>224</v>
      </c>
      <c r="C3" s="3" t="s">
        <v>225</v>
      </c>
      <c r="D3" s="3" t="s">
        <v>226</v>
      </c>
      <c r="E3" s="3" t="s">
        <v>227</v>
      </c>
      <c r="F3" s="3" t="s">
        <v>228</v>
      </c>
      <c r="G3" s="3" t="s">
        <v>229</v>
      </c>
      <c r="H3" s="3" t="s">
        <v>230</v>
      </c>
      <c r="I3" s="3" t="s">
        <v>14</v>
      </c>
    </row>
    <row r="4" customFormat="false" ht="15" hidden="false" customHeight="false" outlineLevel="0" collapsed="false">
      <c r="A4" s="4" t="s">
        <v>231</v>
      </c>
      <c r="B4" s="4" t="s">
        <v>232</v>
      </c>
      <c r="C4" s="4" t="s">
        <v>233</v>
      </c>
      <c r="D4" s="4" t="s">
        <v>234</v>
      </c>
      <c r="E4" s="4" t="s">
        <v>235</v>
      </c>
      <c r="F4" s="4" t="s">
        <v>236</v>
      </c>
      <c r="G4" s="4" t="n">
        <v>4</v>
      </c>
      <c r="H4" s="5" t="n">
        <v>185000</v>
      </c>
      <c r="I4" s="4" t="s">
        <v>28</v>
      </c>
    </row>
    <row r="5" customFormat="false" ht="15" hidden="false" customHeight="false" outlineLevel="0" collapsed="false">
      <c r="A5" s="4" t="s">
        <v>237</v>
      </c>
      <c r="B5" s="4" t="s">
        <v>238</v>
      </c>
      <c r="C5" s="4" t="s">
        <v>239</v>
      </c>
      <c r="D5" s="4" t="s">
        <v>240</v>
      </c>
      <c r="E5" s="4" t="s">
        <v>241</v>
      </c>
      <c r="F5" s="4" t="s">
        <v>125</v>
      </c>
      <c r="G5" s="4" t="n">
        <v>3</v>
      </c>
      <c r="H5" s="5" t="n">
        <v>240000</v>
      </c>
      <c r="I5" s="4" t="s">
        <v>242</v>
      </c>
    </row>
    <row r="6" customFormat="false" ht="15" hidden="false" customHeight="false" outlineLevel="0" collapsed="false">
      <c r="A6" s="4" t="s">
        <v>243</v>
      </c>
      <c r="B6" s="4" t="s">
        <v>244</v>
      </c>
      <c r="C6" s="4" t="s">
        <v>245</v>
      </c>
      <c r="D6" s="4" t="s">
        <v>246</v>
      </c>
      <c r="E6" s="4" t="s">
        <v>247</v>
      </c>
      <c r="F6" s="4" t="s">
        <v>248</v>
      </c>
      <c r="G6" s="4" t="n">
        <v>5</v>
      </c>
      <c r="H6" s="5" t="n">
        <v>18000</v>
      </c>
      <c r="I6" s="4" t="s">
        <v>28</v>
      </c>
    </row>
    <row r="7" customFormat="false" ht="15" hidden="false" customHeight="false" outlineLevel="0" collapsed="false">
      <c r="A7" s="4" t="s">
        <v>249</v>
      </c>
      <c r="B7" s="4" t="s">
        <v>250</v>
      </c>
      <c r="C7" s="4" t="s">
        <v>251</v>
      </c>
      <c r="D7" s="4" t="s">
        <v>24</v>
      </c>
      <c r="E7" s="4" t="s">
        <v>252</v>
      </c>
      <c r="F7" s="4" t="s">
        <v>130</v>
      </c>
      <c r="G7" s="4" t="n">
        <v>4</v>
      </c>
      <c r="H7" s="5" t="n">
        <v>22000</v>
      </c>
      <c r="I7" s="4" t="s">
        <v>242</v>
      </c>
    </row>
    <row r="8" customFormat="false" ht="15" hidden="false" customHeight="false" outlineLevel="0" collapsed="false">
      <c r="A8" s="4" t="s">
        <v>253</v>
      </c>
      <c r="B8" s="4" t="s">
        <v>254</v>
      </c>
      <c r="C8" s="4" t="s">
        <v>255</v>
      </c>
      <c r="D8" s="4" t="s">
        <v>24</v>
      </c>
      <c r="E8" s="4" t="s">
        <v>256</v>
      </c>
      <c r="F8" s="4" t="s">
        <v>257</v>
      </c>
      <c r="G8" s="4" t="n">
        <v>4</v>
      </c>
      <c r="H8" s="5" t="n">
        <v>650000</v>
      </c>
      <c r="I8" s="4" t="s">
        <v>28</v>
      </c>
    </row>
  </sheetData>
  <mergeCells count="2">
    <mergeCell ref="A1:I1"/>
    <mergeCell ref="A2:I2"/>
  </mergeCells>
  <conditionalFormatting sqref="I4:I8">
    <cfRule type="cellIs" priority="2" operator="equal" aboveAverage="0" equalAverage="0" bottom="0" percent="0" rank="0" text="" dxfId="2">
      <formula>"Renewal Due"</formula>
    </cfRule>
    <cfRule type="cellIs" priority="3" operator="equal" aboveAverage="0" equalAverage="0" bottom="0" percent="0" rank="0" text="" dxfId="0">
      <formula>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30" hidden="false" customHeight="true" outlineLevel="0" collapsed="false">
      <c r="A1" s="1" t="s">
        <v>258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259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260</v>
      </c>
      <c r="B4" s="10"/>
      <c r="C4" s="11" t="s">
        <v>202</v>
      </c>
      <c r="D4" s="11"/>
      <c r="E4" s="12" t="s">
        <v>156</v>
      </c>
      <c r="F4" s="12"/>
      <c r="G4" s="10" t="s">
        <v>157</v>
      </c>
      <c r="H4" s="10"/>
    </row>
    <row r="5" customFormat="false" ht="21.75" hidden="false" customHeight="true" outlineLevel="0" collapsed="false">
      <c r="A5" s="13" t="n">
        <f aca="false">COUNTIF('Employee Master'!M4:M13,"Active")</f>
        <v>9</v>
      </c>
      <c r="B5" s="13"/>
      <c r="C5" s="14" t="n">
        <f aca="false">'Attrition Tracker'!B8</f>
        <v>0.1</v>
      </c>
      <c r="D5" s="14"/>
      <c r="E5" s="15" t="n">
        <f aca="false">'Recruitment Tracker'!B11</f>
        <v>31</v>
      </c>
      <c r="F5" s="15"/>
      <c r="G5" s="16" t="n">
        <f aca="false">'Recruitment Tracker'!B12</f>
        <v>0</v>
      </c>
      <c r="H5" s="16"/>
    </row>
    <row r="6" customFormat="false" ht="21.75" hidden="false" customHeight="true" outlineLevel="0" collapsed="false">
      <c r="A6" s="13"/>
      <c r="B6" s="13"/>
      <c r="C6" s="14"/>
      <c r="D6" s="14"/>
      <c r="E6" s="15"/>
      <c r="F6" s="15"/>
      <c r="G6" s="16"/>
      <c r="H6" s="16"/>
    </row>
    <row r="8" customFormat="false" ht="30" hidden="false" customHeight="true" outlineLevel="0" collapsed="false">
      <c r="A8" s="17" t="s">
        <v>158</v>
      </c>
      <c r="B8" s="17"/>
      <c r="C8" s="17" t="s">
        <v>261</v>
      </c>
      <c r="D8" s="17"/>
      <c r="E8" s="12" t="s">
        <v>262</v>
      </c>
      <c r="F8" s="12"/>
      <c r="G8" s="10" t="s">
        <v>263</v>
      </c>
      <c r="H8" s="10"/>
    </row>
    <row r="9" customFormat="false" ht="21.75" hidden="false" customHeight="true" outlineLevel="0" collapsed="false">
      <c r="A9" s="18" t="n">
        <f aca="false">'Recruitment Tracker'!B13</f>
        <v>1</v>
      </c>
      <c r="B9" s="18"/>
      <c r="C9" s="19" t="n">
        <f aca="false">'Training Tracker'!B8</f>
        <v>13</v>
      </c>
      <c r="D9" s="19"/>
      <c r="E9" s="15" t="n">
        <f aca="false">COUNTIF('Recruitment Tracker'!M4:M7,"Open")</f>
        <v>1</v>
      </c>
      <c r="F9" s="15"/>
      <c r="G9" s="20" t="n">
        <f aca="false">AVERAGE('Attendance Tracker'!I4:I8)</f>
        <v>0.938461538461539</v>
      </c>
      <c r="H9" s="20"/>
    </row>
    <row r="10" customFormat="false" ht="21.75" hidden="false" customHeight="true" outlineLevel="0" collapsed="false">
      <c r="A10" s="18"/>
      <c r="B10" s="18"/>
      <c r="C10" s="19"/>
      <c r="D10" s="19"/>
      <c r="E10" s="15"/>
      <c r="F10" s="15"/>
      <c r="G10" s="20"/>
      <c r="H10" s="20"/>
    </row>
    <row r="13" customFormat="false" ht="15" hidden="false" customHeight="false" outlineLevel="0" collapsed="false">
      <c r="A13" s="6" t="s">
        <v>4</v>
      </c>
      <c r="B13" s="6" t="s">
        <v>264</v>
      </c>
    </row>
    <row r="14" customFormat="false" ht="15" hidden="false" customHeight="false" outlineLevel="0" collapsed="false">
      <c r="A14" s="0" t="s">
        <v>19</v>
      </c>
      <c r="B14" s="0" t="n">
        <f aca="false">COUNTIFS('Employee Master'!C4:C13,A14,'Employee Master'!M4:M13,"Active")</f>
        <v>3</v>
      </c>
    </row>
    <row r="15" customFormat="false" ht="15" hidden="false" customHeight="false" outlineLevel="0" collapsed="false">
      <c r="A15" s="0" t="s">
        <v>32</v>
      </c>
      <c r="B15" s="0" t="n">
        <f aca="false">COUNTIFS('Employee Master'!C4:C13,A15,'Employee Master'!M4:M13,"Active")</f>
        <v>2</v>
      </c>
    </row>
    <row r="16" customFormat="false" ht="15" hidden="false" customHeight="false" outlineLevel="0" collapsed="false">
      <c r="A16" s="0" t="s">
        <v>50</v>
      </c>
      <c r="B16" s="0" t="n">
        <f aca="false">COUNTIFS('Employee Master'!C4:C13,A16,'Employee Master'!M4:M13,"Active")</f>
        <v>1</v>
      </c>
    </row>
    <row r="17" customFormat="false" ht="15" hidden="false" customHeight="false" outlineLevel="0" collapsed="false">
      <c r="A17" s="0" t="s">
        <v>59</v>
      </c>
      <c r="B17" s="0" t="n">
        <f aca="false">COUNTIFS('Employee Master'!C4:C13,A17,'Employee Master'!M4:M13,"Active")</f>
        <v>1</v>
      </c>
    </row>
    <row r="18" customFormat="false" ht="15" hidden="false" customHeight="false" outlineLevel="0" collapsed="false">
      <c r="A18" s="0" t="s">
        <v>76</v>
      </c>
      <c r="B18" s="0" t="n">
        <f aca="false">COUNTIFS('Employee Master'!C4:C13,A18,'Employee Master'!M4:M13,"Active")</f>
        <v>1</v>
      </c>
    </row>
    <row r="19" customFormat="false" ht="15" hidden="false" customHeight="false" outlineLevel="0" collapsed="false">
      <c r="A19" s="0" t="s">
        <v>94</v>
      </c>
      <c r="B19" s="0" t="n">
        <f aca="false">COUNTIFS('Employee Master'!C4:C13,A19,'Employee Master'!M4:M13,"Active")</f>
        <v>0</v>
      </c>
    </row>
    <row r="20" customFormat="false" ht="15" hidden="false" customHeight="false" outlineLevel="0" collapsed="false">
      <c r="A20" s="0" t="s">
        <v>104</v>
      </c>
      <c r="B20" s="0" t="n">
        <f aca="false">COUNTIFS('Employee Master'!C4:C13,A20,'Employee Master'!M4:M13,"Active")</f>
        <v>1</v>
      </c>
    </row>
  </sheetData>
  <mergeCells count="18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8:B8"/>
    <mergeCell ref="C8:D8"/>
    <mergeCell ref="E8:F8"/>
    <mergeCell ref="G8:H8"/>
    <mergeCell ref="A9:B10"/>
    <mergeCell ref="C9:D10"/>
    <mergeCell ref="E9:F10"/>
    <mergeCell ref="G9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6" min="3" style="0" width="14"/>
  </cols>
  <sheetData>
    <row r="1" customFormat="false" ht="30" hidden="false" customHeight="true" outlineLevel="0" collapsed="false">
      <c r="A1" s="1" t="s">
        <v>265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266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267</v>
      </c>
      <c r="B4" s="3" t="s">
        <v>268</v>
      </c>
    </row>
    <row r="5" customFormat="false" ht="15" hidden="false" customHeight="false" outlineLevel="0" collapsed="false">
      <c r="A5" s="4" t="s">
        <v>269</v>
      </c>
      <c r="B5" s="4" t="n">
        <f aca="false">'HR KPI Dashboard'!B4</f>
        <v>0</v>
      </c>
    </row>
    <row r="6" customFormat="false" ht="15" hidden="false" customHeight="false" outlineLevel="0" collapsed="false">
      <c r="A6" s="4" t="s">
        <v>202</v>
      </c>
      <c r="B6" s="4" t="str">
        <f aca="false">'HR KPI Dashboard'!C4</f>
        <v>Attrition Rate</v>
      </c>
    </row>
    <row r="7" customFormat="false" ht="15" hidden="false" customHeight="false" outlineLevel="0" collapsed="false">
      <c r="A7" s="4" t="s">
        <v>262</v>
      </c>
      <c r="B7" s="4" t="n">
        <f aca="false">'HR KPI Dashboard'!C6</f>
        <v>0</v>
      </c>
    </row>
    <row r="8" customFormat="false" ht="15" hidden="false" customHeight="false" outlineLevel="0" collapsed="false">
      <c r="A8" s="4" t="s">
        <v>263</v>
      </c>
      <c r="B8" s="4" t="n">
        <f aca="false">'HR KPI Dashboard'!C10</f>
        <v>0</v>
      </c>
    </row>
    <row r="9" customFormat="false" ht="15" hidden="false" customHeight="false" outlineLevel="0" collapsed="false">
      <c r="A9" s="4" t="s">
        <v>220</v>
      </c>
      <c r="B9" s="4" t="n">
        <f aca="false">'HR KPI Dashboard'!F6</f>
        <v>0</v>
      </c>
    </row>
    <row r="10" customFormat="false" ht="15" hidden="false" customHeight="false" outlineLevel="0" collapsed="false">
      <c r="A10" s="4" t="s">
        <v>157</v>
      </c>
      <c r="B10" s="4" t="n">
        <f aca="false">'HR KPI Dashboard'!F4</f>
        <v>0</v>
      </c>
    </row>
    <row r="13" customFormat="false" ht="15" hidden="false" customHeight="false" outlineLevel="0" collapsed="false">
      <c r="A13" s="21" t="s">
        <v>270</v>
      </c>
    </row>
    <row r="14" customFormat="false" ht="15" hidden="false" customHeight="false" outlineLevel="0" collapsed="false">
      <c r="A14" s="22" t="s">
        <v>271</v>
      </c>
      <c r="B14" s="22"/>
      <c r="C14" s="22"/>
      <c r="D14" s="22"/>
      <c r="E14" s="22"/>
      <c r="F14" s="22"/>
    </row>
    <row r="15" customFormat="false" ht="15" hidden="false" customHeight="false" outlineLevel="0" collapsed="false">
      <c r="A15" s="22" t="s">
        <v>272</v>
      </c>
      <c r="B15" s="22"/>
      <c r="C15" s="22"/>
      <c r="D15" s="22"/>
      <c r="E15" s="22"/>
      <c r="F15" s="22"/>
    </row>
    <row r="16" customFormat="false" ht="15" hidden="false" customHeight="false" outlineLevel="0" collapsed="false">
      <c r="A16" s="22" t="s">
        <v>273</v>
      </c>
      <c r="B16" s="22"/>
      <c r="C16" s="22"/>
      <c r="D16" s="22"/>
      <c r="E16" s="22"/>
      <c r="F16" s="22"/>
    </row>
    <row r="17" customFormat="false" ht="15" hidden="false" customHeight="false" outlineLevel="0" collapsed="false">
      <c r="A17" s="22" t="s">
        <v>274</v>
      </c>
      <c r="B17" s="22"/>
      <c r="C17" s="22"/>
      <c r="D17" s="22"/>
      <c r="E17" s="22"/>
      <c r="F17" s="22"/>
    </row>
    <row r="18" customFormat="false" ht="15" hidden="false" customHeight="false" outlineLevel="0" collapsed="false">
      <c r="A18" s="22" t="s">
        <v>275</v>
      </c>
      <c r="B18" s="22"/>
      <c r="C18" s="22"/>
      <c r="D18" s="22"/>
      <c r="E18" s="22"/>
      <c r="F18" s="22"/>
    </row>
  </sheetData>
  <mergeCells count="7">
    <mergeCell ref="A1:F1"/>
    <mergeCell ref="A2:F2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2026-07-01T21:56:05Z</dcterms:created>
  <dc:creator>openpyxl</dc:creator>
  <dc:description/>
  <dc:language>en-US</dc:language>
  <cp:lastModifiedBy/>
  <dcterms:modified xsi:type="dcterms:W3CDTF">2026-07-01T21:56:12Z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